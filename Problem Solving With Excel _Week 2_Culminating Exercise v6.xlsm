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dmin\Documents\"/>
    </mc:Choice>
  </mc:AlternateContent>
  <bookViews>
    <workbookView xWindow="0" yWindow="0" windowWidth="24000" windowHeight="9630" firstSheet="1" activeTab="1"/>
  </bookViews>
  <sheets>
    <sheet name="Cover Page" sheetId="1" r:id="rId1"/>
    <sheet name="Question" sheetId="14" r:id="rId2"/>
    <sheet name="Data_Lookup" sheetId="16" r:id="rId3"/>
    <sheet name="Data_Set_Clean" sheetId="15" r:id="rId4"/>
    <sheet name="Data_Set_Raw" sheetId="10" r:id="rId5"/>
    <sheet name="Question_Ans" sheetId="7" state="hidden" r:id="rId6"/>
    <sheet name="Data_Set_Clean_Ans" sheetId="13" state="hidden" r:id="rId7"/>
    <sheet name="Data_Lookup_Ans" sheetId="11" state="hidden" r:id="rId8"/>
  </sheets>
  <externalReferences>
    <externalReference r:id="rId9"/>
  </externalReferences>
  <definedNames>
    <definedName name="_xlnm._FilterDatabase" localSheetId="3" hidden="1">Data_Set_Clean!$B$8:$M$108</definedName>
    <definedName name="_xlnm._FilterDatabase" localSheetId="6" hidden="1">Data_Set_Clean_Ans!$B$8:$M$108</definedName>
    <definedName name="_xlnm._FilterDatabase" localSheetId="4" hidden="1">Data_Set_Raw!$B$7:$I$107</definedName>
    <definedName name="Country">'[1]Data Set'!$F$9:$F$32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5" i="14" l="1"/>
  <c r="K14" i="14"/>
  <c r="K15" i="14"/>
  <c r="K16" i="14"/>
  <c r="K17" i="14"/>
  <c r="K18" i="14"/>
  <c r="K19" i="14"/>
  <c r="K20" i="14"/>
  <c r="K21" i="14"/>
  <c r="K22" i="14"/>
  <c r="K23" i="14"/>
  <c r="K24" i="14"/>
  <c r="K25" i="14"/>
  <c r="K26" i="14"/>
  <c r="K27" i="14"/>
  <c r="K28" i="14"/>
  <c r="K29" i="14"/>
  <c r="K13" i="14"/>
  <c r="J14" i="14"/>
  <c r="J15" i="14"/>
  <c r="J16" i="14"/>
  <c r="J17" i="14"/>
  <c r="J18" i="14"/>
  <c r="J19" i="14"/>
  <c r="J20" i="14"/>
  <c r="J21" i="14"/>
  <c r="J22" i="14"/>
  <c r="J23" i="14"/>
  <c r="J24" i="14"/>
  <c r="J25" i="14"/>
  <c r="J26" i="14"/>
  <c r="J27" i="14"/>
  <c r="J28" i="14"/>
  <c r="J29" i="14"/>
  <c r="J13" i="14"/>
  <c r="I14" i="14"/>
  <c r="I15" i="14"/>
  <c r="I16" i="14"/>
  <c r="I17" i="14"/>
  <c r="I18" i="14"/>
  <c r="I19" i="14"/>
  <c r="I20" i="14"/>
  <c r="I21" i="14"/>
  <c r="I22" i="14"/>
  <c r="I23" i="14"/>
  <c r="I24" i="14"/>
  <c r="I25" i="14"/>
  <c r="I26" i="14"/>
  <c r="I27" i="14"/>
  <c r="I28" i="14"/>
  <c r="I29" i="14"/>
  <c r="I13" i="14"/>
  <c r="H14" i="14"/>
  <c r="H15" i="14"/>
  <c r="H16" i="14"/>
  <c r="H17" i="14"/>
  <c r="H18" i="14"/>
  <c r="H19" i="14"/>
  <c r="H20" i="14"/>
  <c r="H21" i="14"/>
  <c r="H22" i="14"/>
  <c r="H23" i="14"/>
  <c r="H24" i="14"/>
  <c r="H25" i="14"/>
  <c r="H26" i="14"/>
  <c r="H27" i="14"/>
  <c r="H28" i="14"/>
  <c r="H29" i="14"/>
  <c r="H13" i="14"/>
  <c r="C34" i="14"/>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9" i="15"/>
  <c r="G14" i="14"/>
  <c r="G15" i="14"/>
  <c r="G16" i="14"/>
  <c r="G17" i="14"/>
  <c r="G18" i="14"/>
  <c r="G19" i="14"/>
  <c r="G20" i="14"/>
  <c r="G21" i="14"/>
  <c r="G22" i="14"/>
  <c r="G23" i="14"/>
  <c r="G24" i="14"/>
  <c r="G25" i="14"/>
  <c r="G26" i="14"/>
  <c r="G27" i="14"/>
  <c r="G28" i="14"/>
  <c r="G29" i="14"/>
  <c r="G13" i="14"/>
  <c r="F14" i="14"/>
  <c r="F15" i="14"/>
  <c r="F16" i="14"/>
  <c r="F17" i="14"/>
  <c r="F18" i="14"/>
  <c r="F19" i="14"/>
  <c r="F20" i="14"/>
  <c r="F21" i="14"/>
  <c r="F22" i="14"/>
  <c r="F23" i="14"/>
  <c r="F24" i="14"/>
  <c r="F25" i="14"/>
  <c r="F26" i="14"/>
  <c r="F27" i="14"/>
  <c r="F28" i="14"/>
  <c r="F29" i="14"/>
  <c r="F13" i="14"/>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108" i="15"/>
  <c r="F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E14" i="14"/>
  <c r="E15" i="14"/>
  <c r="E16" i="14"/>
  <c r="E17" i="14"/>
  <c r="E18" i="14"/>
  <c r="E19" i="14"/>
  <c r="E20" i="14"/>
  <c r="E21" i="14"/>
  <c r="E22" i="14"/>
  <c r="E23" i="14"/>
  <c r="E24" i="14"/>
  <c r="E25" i="14"/>
  <c r="E26" i="14"/>
  <c r="E27" i="14"/>
  <c r="E28" i="14"/>
  <c r="E29" i="14"/>
  <c r="E13" i="14"/>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20" i="15"/>
  <c r="G10" i="15"/>
  <c r="G11" i="15"/>
  <c r="G12" i="15"/>
  <c r="G13" i="15"/>
  <c r="G14" i="15"/>
  <c r="G15" i="15"/>
  <c r="G16" i="15"/>
  <c r="G17" i="15"/>
  <c r="G18" i="15"/>
  <c r="G19" i="15"/>
  <c r="G9" i="15"/>
  <c r="G109" i="15"/>
  <c r="D14" i="14"/>
  <c r="D15" i="14"/>
  <c r="D16" i="14"/>
  <c r="D17" i="14"/>
  <c r="D18" i="14"/>
  <c r="D19" i="14"/>
  <c r="D20" i="14"/>
  <c r="D21" i="14"/>
  <c r="D22" i="14"/>
  <c r="D23" i="14"/>
  <c r="D24" i="14"/>
  <c r="D25" i="14"/>
  <c r="D26" i="14"/>
  <c r="D27" i="14"/>
  <c r="D28" i="14"/>
  <c r="D29" i="14"/>
  <c r="D13" i="14"/>
  <c r="C14" i="14"/>
  <c r="C15" i="14"/>
  <c r="C16" i="14"/>
  <c r="C17" i="14"/>
  <c r="C18" i="14"/>
  <c r="C19" i="14"/>
  <c r="C20" i="14"/>
  <c r="C21" i="14"/>
  <c r="C22" i="14"/>
  <c r="C23" i="14"/>
  <c r="C24" i="14"/>
  <c r="C25" i="14"/>
  <c r="C26" i="14"/>
  <c r="C27" i="14"/>
  <c r="C28" i="14"/>
  <c r="C29" i="14"/>
  <c r="C13" i="14"/>
  <c r="I10" i="15" l="1"/>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9" i="15"/>
  <c r="L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9" i="15"/>
  <c r="G16" i="16"/>
  <c r="G17" i="16"/>
  <c r="G18" i="16"/>
  <c r="G19" i="16"/>
  <c r="G20" i="16"/>
  <c r="G21" i="16"/>
  <c r="G22" i="16"/>
  <c r="G23" i="16"/>
  <c r="G24" i="16"/>
  <c r="G25" i="16"/>
  <c r="H16" i="16"/>
  <c r="H17" i="16"/>
  <c r="H18" i="16"/>
  <c r="H19" i="16"/>
  <c r="H20" i="16"/>
  <c r="H21" i="16"/>
  <c r="H22" i="16"/>
  <c r="H23" i="16"/>
  <c r="H24" i="16"/>
  <c r="H25" i="16"/>
  <c r="F17" i="16"/>
  <c r="F18" i="16"/>
  <c r="F19" i="16"/>
  <c r="F20" i="16"/>
  <c r="F21" i="16"/>
  <c r="F22" i="16"/>
  <c r="F23" i="16"/>
  <c r="F24" i="16"/>
  <c r="F25" i="16"/>
  <c r="F16" i="16"/>
  <c r="E18" i="16"/>
  <c r="E19" i="16"/>
  <c r="E20" i="16"/>
  <c r="E21" i="16"/>
  <c r="E22" i="16"/>
  <c r="E23" i="16"/>
  <c r="E24" i="16"/>
  <c r="E25" i="16"/>
  <c r="E16" i="16"/>
  <c r="E17" i="16"/>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9" i="15"/>
  <c r="I108" i="13" l="1"/>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F15" i="16" l="1"/>
  <c r="A2" i="16"/>
  <c r="A1" i="16"/>
  <c r="A2" i="15"/>
  <c r="A1" i="15"/>
  <c r="A2" i="14"/>
  <c r="A1" i="14"/>
  <c r="H15" i="16" l="1"/>
  <c r="G15" i="16"/>
  <c r="L108" i="13"/>
  <c r="M108" i="13" s="1"/>
  <c r="L107" i="13"/>
  <c r="M107" i="13" s="1"/>
  <c r="L106" i="13"/>
  <c r="M106" i="13" s="1"/>
  <c r="L105" i="13"/>
  <c r="M105" i="13" s="1"/>
  <c r="L104" i="13"/>
  <c r="M104" i="13" s="1"/>
  <c r="L103" i="13"/>
  <c r="M103" i="13" s="1"/>
  <c r="L102" i="13"/>
  <c r="M102" i="13" s="1"/>
  <c r="L101" i="13"/>
  <c r="M101" i="13" s="1"/>
  <c r="L100" i="13"/>
  <c r="M100" i="13" s="1"/>
  <c r="L99" i="13"/>
  <c r="M99" i="13" s="1"/>
  <c r="L98" i="13"/>
  <c r="M98" i="13" s="1"/>
  <c r="L97" i="13"/>
  <c r="M97" i="13" s="1"/>
  <c r="L96" i="13"/>
  <c r="M96" i="13" s="1"/>
  <c r="L95" i="13"/>
  <c r="M95" i="13" s="1"/>
  <c r="L94" i="13"/>
  <c r="M94" i="13" s="1"/>
  <c r="L93" i="13"/>
  <c r="M93" i="13" s="1"/>
  <c r="L92" i="13"/>
  <c r="M92" i="13" s="1"/>
  <c r="L91" i="13"/>
  <c r="M91" i="13" s="1"/>
  <c r="L90" i="13"/>
  <c r="M90" i="13" s="1"/>
  <c r="L89" i="13"/>
  <c r="M89" i="13" s="1"/>
  <c r="L88" i="13"/>
  <c r="M88" i="13" s="1"/>
  <c r="L87" i="13"/>
  <c r="M87" i="13" s="1"/>
  <c r="L86" i="13"/>
  <c r="M86" i="13" s="1"/>
  <c r="L85" i="13"/>
  <c r="M85" i="13" s="1"/>
  <c r="L84" i="13"/>
  <c r="M84" i="13" s="1"/>
  <c r="L83" i="13"/>
  <c r="M83" i="13" s="1"/>
  <c r="L82" i="13"/>
  <c r="M82" i="13" s="1"/>
  <c r="L81" i="13"/>
  <c r="M81" i="13" s="1"/>
  <c r="L80" i="13"/>
  <c r="M80" i="13" s="1"/>
  <c r="L79" i="13"/>
  <c r="M79" i="13" s="1"/>
  <c r="L78" i="13"/>
  <c r="M78" i="13" s="1"/>
  <c r="L77" i="13"/>
  <c r="M77" i="13" s="1"/>
  <c r="L76" i="13"/>
  <c r="M76" i="13" s="1"/>
  <c r="L75" i="13"/>
  <c r="M75" i="13" s="1"/>
  <c r="L74" i="13"/>
  <c r="M74" i="13" s="1"/>
  <c r="L73" i="13"/>
  <c r="M73" i="13" s="1"/>
  <c r="L72" i="13"/>
  <c r="M72" i="13" s="1"/>
  <c r="L71" i="13"/>
  <c r="M71" i="13" s="1"/>
  <c r="L70" i="13"/>
  <c r="M70" i="13" s="1"/>
  <c r="L69" i="13"/>
  <c r="M69" i="13" s="1"/>
  <c r="L68" i="13"/>
  <c r="M68" i="13" s="1"/>
  <c r="L67" i="13"/>
  <c r="M67" i="13" s="1"/>
  <c r="L66" i="13"/>
  <c r="M66" i="13" s="1"/>
  <c r="L65" i="13"/>
  <c r="M65" i="13" s="1"/>
  <c r="L64" i="13"/>
  <c r="M64" i="13" s="1"/>
  <c r="L63" i="13"/>
  <c r="M63" i="13" s="1"/>
  <c r="L62" i="13"/>
  <c r="M62" i="13" s="1"/>
  <c r="L61" i="13"/>
  <c r="M61" i="13" s="1"/>
  <c r="L60" i="13"/>
  <c r="M60" i="13" s="1"/>
  <c r="L59" i="13"/>
  <c r="M59" i="13" s="1"/>
  <c r="L58" i="13"/>
  <c r="M58" i="13" s="1"/>
  <c r="L57" i="13"/>
  <c r="M57" i="13" s="1"/>
  <c r="L56" i="13"/>
  <c r="M56" i="13" s="1"/>
  <c r="L55" i="13"/>
  <c r="M55" i="13" s="1"/>
  <c r="L54" i="13"/>
  <c r="M54" i="13" s="1"/>
  <c r="L53" i="13"/>
  <c r="M53" i="13" s="1"/>
  <c r="L52" i="13"/>
  <c r="M52" i="13" s="1"/>
  <c r="L51" i="13"/>
  <c r="M51" i="13" s="1"/>
  <c r="L50" i="13"/>
  <c r="M50" i="13" s="1"/>
  <c r="L49" i="13"/>
  <c r="M49" i="13" s="1"/>
  <c r="L48" i="13"/>
  <c r="M48" i="13" s="1"/>
  <c r="L47" i="13"/>
  <c r="M47" i="13" s="1"/>
  <c r="L46" i="13"/>
  <c r="M46" i="13" s="1"/>
  <c r="L45" i="13"/>
  <c r="M45" i="13" s="1"/>
  <c r="L44" i="13"/>
  <c r="M44" i="13" s="1"/>
  <c r="L43" i="13"/>
  <c r="M43" i="13" s="1"/>
  <c r="L42" i="13"/>
  <c r="M42" i="13" s="1"/>
  <c r="L41" i="13"/>
  <c r="M41" i="13" s="1"/>
  <c r="L40" i="13"/>
  <c r="M40" i="13" s="1"/>
  <c r="L39" i="13"/>
  <c r="M39" i="13" s="1"/>
  <c r="L38" i="13"/>
  <c r="M38" i="13" s="1"/>
  <c r="L37" i="13"/>
  <c r="M37" i="13" s="1"/>
  <c r="L36" i="13"/>
  <c r="M36" i="13" s="1"/>
  <c r="L35" i="13"/>
  <c r="M35" i="13" s="1"/>
  <c r="L34" i="13"/>
  <c r="M34" i="13" s="1"/>
  <c r="L33" i="13"/>
  <c r="M33" i="13" s="1"/>
  <c r="L32" i="13"/>
  <c r="M32" i="13" s="1"/>
  <c r="L31" i="13"/>
  <c r="M31" i="13" s="1"/>
  <c r="L30" i="13"/>
  <c r="M30" i="13" s="1"/>
  <c r="L29" i="13"/>
  <c r="M29" i="13" s="1"/>
  <c r="L28" i="13"/>
  <c r="M28" i="13" s="1"/>
  <c r="L27" i="13"/>
  <c r="M27" i="13" s="1"/>
  <c r="L26" i="13"/>
  <c r="M26" i="13" s="1"/>
  <c r="L25" i="13"/>
  <c r="M25" i="13" s="1"/>
  <c r="L24" i="13"/>
  <c r="M24" i="13" s="1"/>
  <c r="L23" i="13"/>
  <c r="M23" i="13" s="1"/>
  <c r="L22" i="13"/>
  <c r="M22" i="13" s="1"/>
  <c r="L21" i="13"/>
  <c r="M21" i="13" s="1"/>
  <c r="L20" i="13"/>
  <c r="M20" i="13" s="1"/>
  <c r="L19" i="13"/>
  <c r="M19" i="13" s="1"/>
  <c r="L18" i="13"/>
  <c r="M18" i="13" s="1"/>
  <c r="L17" i="13"/>
  <c r="M17" i="13" s="1"/>
  <c r="L16" i="13"/>
  <c r="M16" i="13" s="1"/>
  <c r="L15" i="13"/>
  <c r="M15" i="13" s="1"/>
  <c r="L14" i="13"/>
  <c r="M14" i="13" s="1"/>
  <c r="L13" i="13"/>
  <c r="M13" i="13" s="1"/>
  <c r="L12" i="13"/>
  <c r="M12" i="13" s="1"/>
  <c r="L11" i="13"/>
  <c r="M11" i="13" s="1"/>
  <c r="L10" i="13"/>
  <c r="M10" i="13" s="1"/>
  <c r="L9" i="13"/>
  <c r="M9" i="13" s="1"/>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G9" i="13"/>
  <c r="F108" i="13"/>
  <c r="F107" i="13"/>
  <c r="F106" i="13"/>
  <c r="F105" i="13"/>
  <c r="F104" i="13"/>
  <c r="F103" i="13"/>
  <c r="F102" i="13"/>
  <c r="F101" i="13"/>
  <c r="F100" i="13"/>
  <c r="F99" i="13"/>
  <c r="F98" i="13"/>
  <c r="F97" i="13"/>
  <c r="F96" i="13"/>
  <c r="F95" i="13"/>
  <c r="F94" i="13"/>
  <c r="F93" i="13"/>
  <c r="F92" i="13"/>
  <c r="F91" i="13"/>
  <c r="F90" i="13"/>
  <c r="F89" i="13"/>
  <c r="F88" i="13"/>
  <c r="F87" i="13"/>
  <c r="F86" i="13"/>
  <c r="F85" i="13"/>
  <c r="F84" i="13"/>
  <c r="F83" i="13"/>
  <c r="F82" i="13"/>
  <c r="F81" i="13"/>
  <c r="F80" i="13"/>
  <c r="F79" i="13"/>
  <c r="F78" i="13"/>
  <c r="F77" i="13"/>
  <c r="F76" i="13"/>
  <c r="F75" i="13"/>
  <c r="F74" i="13"/>
  <c r="F73" i="13"/>
  <c r="F72" i="13"/>
  <c r="F71" i="13"/>
  <c r="F70" i="13"/>
  <c r="F69" i="13"/>
  <c r="F68" i="13"/>
  <c r="F67" i="13"/>
  <c r="F66" i="13"/>
  <c r="F65" i="13"/>
  <c r="F64" i="13"/>
  <c r="F63" i="13"/>
  <c r="F62" i="13"/>
  <c r="F61" i="13"/>
  <c r="F60" i="13"/>
  <c r="F59" i="13"/>
  <c r="F58" i="13"/>
  <c r="F57" i="13"/>
  <c r="F56" i="13"/>
  <c r="F55" i="13"/>
  <c r="F54" i="13"/>
  <c r="F53" i="13"/>
  <c r="F52" i="13"/>
  <c r="F51" i="13"/>
  <c r="F50" i="13"/>
  <c r="F49" i="13"/>
  <c r="F48" i="13"/>
  <c r="F47" i="13"/>
  <c r="F46" i="13"/>
  <c r="F45" i="13"/>
  <c r="F44" i="13"/>
  <c r="F43" i="13"/>
  <c r="F42" i="13"/>
  <c r="F41" i="13"/>
  <c r="F40" i="13"/>
  <c r="F39" i="13"/>
  <c r="F38" i="13"/>
  <c r="F37" i="13"/>
  <c r="F36" i="13"/>
  <c r="F35" i="13"/>
  <c r="F34" i="13"/>
  <c r="F33" i="13"/>
  <c r="F32" i="13"/>
  <c r="F31" i="13"/>
  <c r="F30" i="13"/>
  <c r="F29" i="13"/>
  <c r="F28" i="13"/>
  <c r="F27" i="13"/>
  <c r="F26" i="13"/>
  <c r="F25" i="13"/>
  <c r="F24" i="13"/>
  <c r="F23" i="13"/>
  <c r="F22" i="13"/>
  <c r="F21" i="13"/>
  <c r="F20" i="13"/>
  <c r="F19" i="13"/>
  <c r="F18" i="13"/>
  <c r="F17" i="13"/>
  <c r="F16" i="13"/>
  <c r="F15" i="13"/>
  <c r="F14" i="13"/>
  <c r="F13" i="13"/>
  <c r="F12" i="13"/>
  <c r="F11" i="13"/>
  <c r="F10" i="13"/>
  <c r="H9" i="13"/>
  <c r="E108" i="13" l="1"/>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C108" i="13"/>
  <c r="C107" i="13"/>
  <c r="C106" i="13"/>
  <c r="D106" i="13" s="1"/>
  <c r="C105" i="13"/>
  <c r="D105" i="13" s="1"/>
  <c r="C104" i="13"/>
  <c r="D104" i="13" s="1"/>
  <c r="C103" i="13"/>
  <c r="D103" i="13" s="1"/>
  <c r="C102" i="13"/>
  <c r="D102" i="13" s="1"/>
  <c r="C101" i="13"/>
  <c r="D101" i="13" s="1"/>
  <c r="C100" i="13"/>
  <c r="D100" i="13" s="1"/>
  <c r="C99" i="13"/>
  <c r="D99" i="13" s="1"/>
  <c r="C98" i="13"/>
  <c r="D98" i="13" s="1"/>
  <c r="C97" i="13"/>
  <c r="D97" i="13" s="1"/>
  <c r="C96" i="13"/>
  <c r="D96" i="13" s="1"/>
  <c r="C95" i="13"/>
  <c r="D95" i="13" s="1"/>
  <c r="C94" i="13"/>
  <c r="D94" i="13" s="1"/>
  <c r="C93" i="13"/>
  <c r="D93" i="13" s="1"/>
  <c r="C92" i="13"/>
  <c r="D92" i="13" s="1"/>
  <c r="C91" i="13"/>
  <c r="D91" i="13" s="1"/>
  <c r="C90" i="13"/>
  <c r="D90" i="13" s="1"/>
  <c r="C89" i="13"/>
  <c r="D89" i="13" s="1"/>
  <c r="C88" i="13"/>
  <c r="D88" i="13" s="1"/>
  <c r="C87" i="13"/>
  <c r="D87" i="13" s="1"/>
  <c r="C86" i="13"/>
  <c r="D86" i="13" s="1"/>
  <c r="C85" i="13"/>
  <c r="D85" i="13" s="1"/>
  <c r="C84" i="13"/>
  <c r="D84" i="13" s="1"/>
  <c r="C83" i="13"/>
  <c r="D83" i="13" s="1"/>
  <c r="C82" i="13"/>
  <c r="D82" i="13" s="1"/>
  <c r="C81" i="13"/>
  <c r="D81" i="13" s="1"/>
  <c r="C80" i="13"/>
  <c r="D80" i="13" s="1"/>
  <c r="C79" i="13"/>
  <c r="D79" i="13" s="1"/>
  <c r="C78" i="13"/>
  <c r="D78" i="13" s="1"/>
  <c r="C77" i="13"/>
  <c r="D77" i="13" s="1"/>
  <c r="C76" i="13"/>
  <c r="D76" i="13" s="1"/>
  <c r="C75" i="13"/>
  <c r="D75" i="13" s="1"/>
  <c r="C74" i="13"/>
  <c r="D74" i="13" s="1"/>
  <c r="C73" i="13"/>
  <c r="D73" i="13" s="1"/>
  <c r="C72" i="13"/>
  <c r="D72" i="13" s="1"/>
  <c r="C71" i="13"/>
  <c r="D71" i="13" s="1"/>
  <c r="C70" i="13"/>
  <c r="D70" i="13" s="1"/>
  <c r="C69" i="13"/>
  <c r="D69" i="13" s="1"/>
  <c r="C68" i="13"/>
  <c r="D68" i="13" s="1"/>
  <c r="C67" i="13"/>
  <c r="D67" i="13" s="1"/>
  <c r="C66" i="13"/>
  <c r="D66" i="13" s="1"/>
  <c r="C65" i="13"/>
  <c r="D65" i="13" s="1"/>
  <c r="C64" i="13"/>
  <c r="D64" i="13" s="1"/>
  <c r="C63" i="13"/>
  <c r="D63" i="13" s="1"/>
  <c r="C62" i="13"/>
  <c r="D62" i="13" s="1"/>
  <c r="C61" i="13"/>
  <c r="D61" i="13" s="1"/>
  <c r="C60" i="13"/>
  <c r="D60" i="13" s="1"/>
  <c r="C59" i="13"/>
  <c r="D59" i="13" s="1"/>
  <c r="C58" i="13"/>
  <c r="D58" i="13" s="1"/>
  <c r="C57" i="13"/>
  <c r="D57" i="13" s="1"/>
  <c r="C56" i="13"/>
  <c r="D56" i="13" s="1"/>
  <c r="C55" i="13"/>
  <c r="D55" i="13" s="1"/>
  <c r="C54" i="13"/>
  <c r="D54" i="13" s="1"/>
  <c r="C53" i="13"/>
  <c r="D53" i="13" s="1"/>
  <c r="C52" i="13"/>
  <c r="D52" i="13" s="1"/>
  <c r="C51" i="13"/>
  <c r="D51" i="13" s="1"/>
  <c r="C50" i="13"/>
  <c r="D50" i="13" s="1"/>
  <c r="C49" i="13"/>
  <c r="D49" i="13" s="1"/>
  <c r="C48" i="13"/>
  <c r="D48" i="13" s="1"/>
  <c r="C47" i="13"/>
  <c r="D47" i="13" s="1"/>
  <c r="C46" i="13"/>
  <c r="D46" i="13" s="1"/>
  <c r="C45" i="13"/>
  <c r="D45" i="13" s="1"/>
  <c r="C44" i="13"/>
  <c r="D44" i="13" s="1"/>
  <c r="C43" i="13"/>
  <c r="D43" i="13" s="1"/>
  <c r="C42" i="13"/>
  <c r="D42" i="13" s="1"/>
  <c r="C41" i="13"/>
  <c r="D41" i="13" s="1"/>
  <c r="C40" i="13"/>
  <c r="D40" i="13" s="1"/>
  <c r="C39" i="13"/>
  <c r="D39" i="13" s="1"/>
  <c r="C38" i="13"/>
  <c r="D38" i="13" s="1"/>
  <c r="C37" i="13"/>
  <c r="D37" i="13" s="1"/>
  <c r="C36" i="13"/>
  <c r="D36" i="13" s="1"/>
  <c r="C35" i="13"/>
  <c r="D35" i="13" s="1"/>
  <c r="C34" i="13"/>
  <c r="D34" i="13" s="1"/>
  <c r="C33" i="13"/>
  <c r="D33" i="13" s="1"/>
  <c r="C32" i="13"/>
  <c r="D32" i="13" s="1"/>
  <c r="C31" i="13"/>
  <c r="D31" i="13" s="1"/>
  <c r="C30" i="13"/>
  <c r="D30" i="13" s="1"/>
  <c r="C29" i="13"/>
  <c r="D29" i="13" s="1"/>
  <c r="C28" i="13"/>
  <c r="D28" i="13" s="1"/>
  <c r="C27" i="13"/>
  <c r="D27" i="13" s="1"/>
  <c r="C26" i="13"/>
  <c r="D26" i="13" s="1"/>
  <c r="C25" i="13"/>
  <c r="D25" i="13" s="1"/>
  <c r="C24" i="13"/>
  <c r="D24" i="13" s="1"/>
  <c r="C23" i="13"/>
  <c r="D23" i="13" s="1"/>
  <c r="C22" i="13"/>
  <c r="D22" i="13" s="1"/>
  <c r="C21" i="13"/>
  <c r="D21" i="13" s="1"/>
  <c r="C20" i="13"/>
  <c r="D20" i="13" s="1"/>
  <c r="C19" i="13"/>
  <c r="D19" i="13" s="1"/>
  <c r="C18" i="13"/>
  <c r="D18" i="13" s="1"/>
  <c r="C17" i="13"/>
  <c r="D17" i="13" s="1"/>
  <c r="C16" i="13"/>
  <c r="D16" i="13" s="1"/>
  <c r="C15" i="13"/>
  <c r="D15" i="13" s="1"/>
  <c r="C14" i="13"/>
  <c r="D14" i="13" s="1"/>
  <c r="C13" i="13"/>
  <c r="D13" i="13" s="1"/>
  <c r="C12" i="13"/>
  <c r="D12" i="13" s="1"/>
  <c r="C11" i="13"/>
  <c r="D11" i="13" s="1"/>
  <c r="C10" i="13"/>
  <c r="D10" i="13" s="1"/>
  <c r="C9" i="13"/>
  <c r="D9" i="13" s="1"/>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D108" i="13"/>
  <c r="D107" i="13"/>
  <c r="A3" i="13"/>
  <c r="A2" i="13"/>
  <c r="A1" i="13"/>
  <c r="E25" i="11"/>
  <c r="F25" i="11" s="1"/>
  <c r="E24" i="11"/>
  <c r="F24" i="11" s="1"/>
  <c r="E23" i="11"/>
  <c r="F23" i="11" s="1"/>
  <c r="E22" i="11"/>
  <c r="F22" i="11" s="1"/>
  <c r="E21" i="11"/>
  <c r="F21" i="11" s="1"/>
  <c r="E20" i="11"/>
  <c r="F20" i="11" s="1"/>
  <c r="E19" i="11"/>
  <c r="F19" i="11" s="1"/>
  <c r="E18" i="11"/>
  <c r="F18" i="11" s="1"/>
  <c r="E17" i="11"/>
  <c r="F17" i="11" s="1"/>
  <c r="E16" i="11"/>
  <c r="F16" i="11" s="1"/>
  <c r="E15" i="11"/>
  <c r="F15" i="11" s="1"/>
  <c r="A3" i="11"/>
  <c r="A2" i="11"/>
  <c r="A1" i="11"/>
  <c r="G16" i="11" l="1"/>
  <c r="H16" i="11"/>
  <c r="H17" i="11"/>
  <c r="G17" i="11"/>
  <c r="H21" i="11"/>
  <c r="G21" i="11"/>
  <c r="H25" i="11"/>
  <c r="G25" i="11"/>
  <c r="G24" i="11"/>
  <c r="H24" i="11"/>
  <c r="G18" i="11"/>
  <c r="H18" i="11"/>
  <c r="H22" i="11"/>
  <c r="G22" i="11"/>
  <c r="G20" i="11"/>
  <c r="H20" i="11"/>
  <c r="F29" i="7"/>
  <c r="F25" i="7"/>
  <c r="F17" i="7"/>
  <c r="F13" i="7"/>
  <c r="F28" i="7"/>
  <c r="F24" i="7"/>
  <c r="F20" i="7"/>
  <c r="F16" i="7"/>
  <c r="F27" i="7"/>
  <c r="F23" i="7"/>
  <c r="F19" i="7"/>
  <c r="F15" i="7"/>
  <c r="F26" i="7"/>
  <c r="F22" i="7"/>
  <c r="F18" i="7"/>
  <c r="F14" i="7"/>
  <c r="F21" i="7"/>
  <c r="G15" i="11"/>
  <c r="H15" i="11"/>
  <c r="G19" i="11"/>
  <c r="H19" i="11"/>
  <c r="G23" i="11"/>
  <c r="H23" i="11"/>
  <c r="J29" i="7"/>
  <c r="H28" i="7"/>
  <c r="D28" i="7"/>
  <c r="H27" i="7"/>
  <c r="D27" i="7"/>
  <c r="H25" i="7"/>
  <c r="D25" i="7"/>
  <c r="H23" i="7"/>
  <c r="D23" i="7"/>
  <c r="J21" i="7"/>
  <c r="H20" i="7"/>
  <c r="D20" i="7"/>
  <c r="H18" i="7"/>
  <c r="D18" i="7"/>
  <c r="H17" i="7"/>
  <c r="D17" i="7"/>
  <c r="H15" i="7"/>
  <c r="D15" i="7"/>
  <c r="H13" i="7"/>
  <c r="D13" i="7"/>
  <c r="I29" i="7"/>
  <c r="E29" i="7"/>
  <c r="G28" i="7"/>
  <c r="K27" i="7"/>
  <c r="G27" i="7"/>
  <c r="K26" i="7"/>
  <c r="E26" i="7"/>
  <c r="G25" i="7"/>
  <c r="K24" i="7"/>
  <c r="E24" i="7"/>
  <c r="G23" i="7"/>
  <c r="K22" i="7"/>
  <c r="E22" i="7"/>
  <c r="I21" i="7"/>
  <c r="E21" i="7"/>
  <c r="G20" i="7"/>
  <c r="K19" i="7"/>
  <c r="E19" i="7"/>
  <c r="G18" i="7"/>
  <c r="K17" i="7"/>
  <c r="G17" i="7"/>
  <c r="K16" i="7"/>
  <c r="E16" i="7"/>
  <c r="G15" i="7"/>
  <c r="K14" i="7"/>
  <c r="E14" i="7"/>
  <c r="G13" i="7"/>
  <c r="D16" i="7"/>
  <c r="H29" i="7"/>
  <c r="D29" i="7"/>
  <c r="J27" i="7"/>
  <c r="H26" i="7"/>
  <c r="D26" i="7"/>
  <c r="H24" i="7"/>
  <c r="D24" i="7"/>
  <c r="H22" i="7"/>
  <c r="D22" i="7"/>
  <c r="H21" i="7"/>
  <c r="D21" i="7"/>
  <c r="H19" i="7"/>
  <c r="D19" i="7"/>
  <c r="J17" i="7"/>
  <c r="H16" i="7"/>
  <c r="H14" i="7"/>
  <c r="D14" i="7"/>
  <c r="K29" i="7"/>
  <c r="G29" i="7"/>
  <c r="K28" i="7"/>
  <c r="E28" i="7"/>
  <c r="I27" i="7"/>
  <c r="E27" i="7"/>
  <c r="G26" i="7"/>
  <c r="K25" i="7"/>
  <c r="E25" i="7"/>
  <c r="G24" i="7"/>
  <c r="K23" i="7"/>
  <c r="E23" i="7"/>
  <c r="G22" i="7"/>
  <c r="K21" i="7"/>
  <c r="G21" i="7"/>
  <c r="K20" i="7"/>
  <c r="E20" i="7"/>
  <c r="G19" i="7"/>
  <c r="K18" i="7"/>
  <c r="E18" i="7"/>
  <c r="I17" i="7"/>
  <c r="E17" i="7"/>
  <c r="G16" i="7"/>
  <c r="K15" i="7"/>
  <c r="E15" i="7"/>
  <c r="G14" i="7"/>
  <c r="K13" i="7"/>
  <c r="E13" i="7"/>
  <c r="C29" i="7"/>
  <c r="C25" i="7"/>
  <c r="C21" i="7"/>
  <c r="C17" i="7"/>
  <c r="C13" i="7"/>
  <c r="C23" i="7"/>
  <c r="C19" i="7"/>
  <c r="C26" i="7"/>
  <c r="C18" i="7"/>
  <c r="C28" i="7"/>
  <c r="C24" i="7"/>
  <c r="C20" i="7"/>
  <c r="C16" i="7"/>
  <c r="C27" i="7"/>
  <c r="C15" i="7"/>
  <c r="C22" i="7"/>
  <c r="C14" i="7"/>
  <c r="J54" i="13" l="1"/>
  <c r="J62" i="13"/>
  <c r="I19" i="7" s="1"/>
  <c r="J61" i="13"/>
  <c r="J31" i="13"/>
  <c r="J104" i="13"/>
  <c r="J67" i="13"/>
  <c r="J22" i="13"/>
  <c r="J48" i="13"/>
  <c r="K15" i="13"/>
  <c r="K107" i="13"/>
  <c r="K50" i="13"/>
  <c r="K79" i="13"/>
  <c r="K80" i="13"/>
  <c r="K69" i="13"/>
  <c r="K57" i="13"/>
  <c r="K74" i="13"/>
  <c r="K81" i="13"/>
  <c r="J20" i="7" s="1"/>
  <c r="K44" i="13"/>
  <c r="J25" i="7" s="1"/>
  <c r="K23" i="13"/>
  <c r="K70" i="13"/>
  <c r="K76" i="13"/>
  <c r="K93" i="13"/>
  <c r="J82" i="13"/>
  <c r="J45" i="13"/>
  <c r="J14" i="13"/>
  <c r="J27" i="13"/>
  <c r="J17" i="13"/>
  <c r="J33" i="13"/>
  <c r="J65" i="13"/>
  <c r="J99" i="13"/>
  <c r="J19" i="13"/>
  <c r="J66" i="13"/>
  <c r="I26" i="7" s="1"/>
  <c r="J71" i="13"/>
  <c r="J77" i="13"/>
  <c r="J86" i="13"/>
  <c r="J34" i="13"/>
  <c r="I13" i="7" s="1"/>
  <c r="J63" i="13"/>
  <c r="I16" i="7" s="1"/>
  <c r="J60" i="13"/>
  <c r="I15" i="7" s="1"/>
  <c r="J92" i="13"/>
  <c r="J38" i="13"/>
  <c r="J24" i="13"/>
  <c r="J25" i="13"/>
  <c r="J74" i="13"/>
  <c r="J107" i="13"/>
  <c r="J15" i="13"/>
  <c r="J79" i="13"/>
  <c r="J69" i="13"/>
  <c r="J57" i="13"/>
  <c r="J80" i="13"/>
  <c r="J50" i="13"/>
  <c r="J23" i="13"/>
  <c r="J93" i="13"/>
  <c r="J81" i="13"/>
  <c r="I20" i="7" s="1"/>
  <c r="J44" i="13"/>
  <c r="I25" i="7" s="1"/>
  <c r="J76" i="13"/>
  <c r="J70" i="13"/>
  <c r="K33" i="13"/>
  <c r="K27" i="13"/>
  <c r="K65" i="13"/>
  <c r="K99" i="13"/>
  <c r="K14" i="13"/>
  <c r="K19" i="13"/>
  <c r="K45" i="13"/>
  <c r="K17" i="13"/>
  <c r="K82" i="13"/>
  <c r="K92" i="13"/>
  <c r="K34" i="13"/>
  <c r="J13" i="7" s="1"/>
  <c r="K66" i="13"/>
  <c r="J26" i="7" s="1"/>
  <c r="K63" i="13"/>
  <c r="J16" i="7" s="1"/>
  <c r="K60" i="13"/>
  <c r="J15" i="7" s="1"/>
  <c r="K24" i="13"/>
  <c r="K25" i="13"/>
  <c r="K38" i="13"/>
  <c r="K71" i="13"/>
  <c r="K86" i="13"/>
  <c r="K77" i="13"/>
  <c r="K75" i="13"/>
  <c r="K72" i="13"/>
  <c r="K84" i="13"/>
  <c r="K20" i="13"/>
  <c r="K12" i="13"/>
  <c r="K13" i="13"/>
  <c r="K68" i="13"/>
  <c r="K53" i="13"/>
  <c r="K42" i="13"/>
  <c r="K55" i="13"/>
  <c r="K98" i="13"/>
  <c r="K28" i="13"/>
  <c r="K37" i="13"/>
  <c r="K41" i="13"/>
  <c r="K103" i="13"/>
  <c r="K59" i="13"/>
  <c r="K56" i="13"/>
  <c r="K100" i="13"/>
  <c r="K11" i="13"/>
  <c r="K16" i="13"/>
  <c r="K106" i="13"/>
  <c r="J24" i="7" s="1"/>
  <c r="J98" i="13"/>
  <c r="J55" i="13"/>
  <c r="J20" i="13"/>
  <c r="J68" i="13"/>
  <c r="J84" i="13"/>
  <c r="J13" i="13"/>
  <c r="J12" i="13"/>
  <c r="J53" i="13"/>
  <c r="J75" i="13"/>
  <c r="J72" i="13"/>
  <c r="J42" i="13"/>
  <c r="J106" i="13"/>
  <c r="I24" i="7" s="1"/>
  <c r="J103" i="13"/>
  <c r="J100" i="13"/>
  <c r="J11" i="13"/>
  <c r="J59" i="13"/>
  <c r="J56" i="13"/>
  <c r="J28" i="13"/>
  <c r="J37" i="13"/>
  <c r="J16" i="13"/>
  <c r="J41" i="13"/>
  <c r="J58" i="13"/>
  <c r="J43" i="13"/>
  <c r="J49" i="13"/>
  <c r="J64" i="13"/>
  <c r="J105" i="13"/>
  <c r="J73" i="13"/>
  <c r="K108" i="13"/>
  <c r="J14" i="7" s="1"/>
  <c r="K18" i="13"/>
  <c r="K95" i="13"/>
  <c r="K21" i="13"/>
  <c r="K26" i="13"/>
  <c r="J22" i="7" s="1"/>
  <c r="K88" i="13"/>
  <c r="K85" i="13"/>
  <c r="K78" i="13"/>
  <c r="K94" i="13"/>
  <c r="K52" i="13"/>
  <c r="J90" i="13"/>
  <c r="J87" i="13"/>
  <c r="J102" i="13"/>
  <c r="J91" i="13"/>
  <c r="I28" i="7" s="1"/>
  <c r="J40" i="13"/>
  <c r="J30" i="13"/>
  <c r="J47" i="13"/>
  <c r="J101" i="13"/>
  <c r="J35" i="13"/>
  <c r="I18" i="7" s="1"/>
  <c r="J46" i="13"/>
  <c r="J96" i="13"/>
  <c r="K97" i="13"/>
  <c r="K10" i="13"/>
  <c r="J23" i="7" s="1"/>
  <c r="K39" i="13"/>
  <c r="K9" i="13"/>
  <c r="K51" i="13"/>
  <c r="K83" i="13"/>
  <c r="K36" i="13"/>
  <c r="K29" i="13"/>
  <c r="K89" i="13"/>
  <c r="K32" i="13"/>
  <c r="K31" i="13"/>
  <c r="K62" i="13"/>
  <c r="J19" i="7" s="1"/>
  <c r="K48" i="13"/>
  <c r="K22" i="13"/>
  <c r="K54" i="13"/>
  <c r="K67" i="13"/>
  <c r="K104" i="13"/>
  <c r="K61" i="13"/>
  <c r="K49" i="13"/>
  <c r="K58" i="13"/>
  <c r="K73" i="13"/>
  <c r="K105" i="13"/>
  <c r="K43" i="13"/>
  <c r="K64" i="13"/>
  <c r="J52" i="13"/>
  <c r="J95" i="13"/>
  <c r="J21" i="13"/>
  <c r="J85" i="13"/>
  <c r="J26" i="13"/>
  <c r="I22" i="7" s="1"/>
  <c r="J18" i="13"/>
  <c r="J88" i="13"/>
  <c r="J78" i="13"/>
  <c r="J94" i="13"/>
  <c r="J108" i="13"/>
  <c r="I14" i="7" s="1"/>
  <c r="K47" i="13"/>
  <c r="K40" i="13"/>
  <c r="K96" i="13"/>
  <c r="K35" i="13"/>
  <c r="J18" i="7" s="1"/>
  <c r="K101" i="13"/>
  <c r="K102" i="13"/>
  <c r="K91" i="13"/>
  <c r="J28" i="7" s="1"/>
  <c r="K30" i="13"/>
  <c r="K46" i="13"/>
  <c r="K87" i="13"/>
  <c r="K90" i="13"/>
  <c r="J10" i="13"/>
  <c r="I23" i="7" s="1"/>
  <c r="J39" i="13"/>
  <c r="J36" i="13"/>
  <c r="J29" i="13"/>
  <c r="J97" i="13"/>
  <c r="J89" i="13"/>
  <c r="J51" i="13"/>
  <c r="J32" i="13"/>
  <c r="J83" i="13"/>
  <c r="J9" i="13"/>
  <c r="C34" i="7"/>
  <c r="C35" i="7"/>
  <c r="A2" i="10"/>
  <c r="A1" i="10"/>
  <c r="A3" i="7"/>
  <c r="A2" i="7"/>
  <c r="A1" i="7"/>
</calcChain>
</file>

<file path=xl/sharedStrings.xml><?xml version="1.0" encoding="utf-8"?>
<sst xmlns="http://schemas.openxmlformats.org/spreadsheetml/2006/main" count="722" uniqueCount="397">
  <si>
    <t>Section 1 - Instruction</t>
  </si>
  <si>
    <t>Problem Solving With Excel</t>
  </si>
  <si>
    <t>Week 2</t>
  </si>
  <si>
    <t>Question</t>
  </si>
  <si>
    <t>Problem 1 - Student Lead</t>
  </si>
  <si>
    <t>Country</t>
  </si>
  <si>
    <t>Sales Channel</t>
  </si>
  <si>
    <t>Product ID</t>
  </si>
  <si>
    <t>Quantity Sold</t>
  </si>
  <si>
    <t>Price</t>
  </si>
  <si>
    <t>Revenue</t>
  </si>
  <si>
    <t>Director Last Name</t>
  </si>
  <si>
    <t>Total Quantity Sold</t>
  </si>
  <si>
    <t xml:space="preserve">Total Revenue </t>
  </si>
  <si>
    <t>Distributor ID</t>
  </si>
  <si>
    <t>Distributor_ID</t>
  </si>
  <si>
    <t>ProductID</t>
  </si>
  <si>
    <t>Sold_Date</t>
  </si>
  <si>
    <t>Quantity</t>
  </si>
  <si>
    <t>deanna santana</t>
  </si>
  <si>
    <t>Solomon Islands</t>
  </si>
  <si>
    <t>PURA-200</t>
  </si>
  <si>
    <t>Rtl</t>
  </si>
  <si>
    <t>131</t>
  </si>
  <si>
    <t>robert juarez</t>
  </si>
  <si>
    <t>Svalbard and Jan Mayen</t>
  </si>
  <si>
    <t>Pure Soft Detergent - 200ml</t>
  </si>
  <si>
    <t>23269</t>
  </si>
  <si>
    <t>jane hernandez</t>
  </si>
  <si>
    <t>Macedonia</t>
  </si>
  <si>
    <t>PURA-100</t>
  </si>
  <si>
    <t>116</t>
  </si>
  <si>
    <t>james spencer</t>
  </si>
  <si>
    <t>Burkina Faso</t>
  </si>
  <si>
    <t>SUPA-500</t>
  </si>
  <si>
    <t>Oln</t>
  </si>
  <si>
    <t>wanda garza</t>
  </si>
  <si>
    <t>india gilbert</t>
  </si>
  <si>
    <t>Super Soft Bulk - 2000ml</t>
  </si>
  <si>
    <t>Retail</t>
  </si>
  <si>
    <t>ima cummings</t>
  </si>
  <si>
    <t>Detafast Stain Remover - 200ml</t>
  </si>
  <si>
    <t>93</t>
  </si>
  <si>
    <t>arsenio knowles</t>
  </si>
  <si>
    <t>Malaysia</t>
  </si>
  <si>
    <t>zahir fields</t>
  </si>
  <si>
    <t>SUPA-2000</t>
  </si>
  <si>
    <t xml:space="preserve"> Dir      </t>
  </si>
  <si>
    <t>joel rivers</t>
  </si>
  <si>
    <t>Australia</t>
  </si>
  <si>
    <t>Super Soft - 1000ml</t>
  </si>
  <si>
    <t>forrest macdonald</t>
  </si>
  <si>
    <t>New Caledonia</t>
  </si>
  <si>
    <t>barrett mckinney</t>
  </si>
  <si>
    <t>37</t>
  </si>
  <si>
    <t>ingrid bush</t>
  </si>
  <si>
    <t>Montserrat</t>
  </si>
  <si>
    <t>SUPA-1000</t>
  </si>
  <si>
    <t>Dir</t>
  </si>
  <si>
    <t>lance little</t>
  </si>
  <si>
    <t>DETA-100</t>
  </si>
  <si>
    <t>eleanor hopper</t>
  </si>
  <si>
    <t>PURA-500</t>
  </si>
  <si>
    <t>Online</t>
  </si>
  <si>
    <t>43</t>
  </si>
  <si>
    <t>clark weaver</t>
  </si>
  <si>
    <t>Palau</t>
  </si>
  <si>
    <t>Pure Soft Detergent - 250ml</t>
  </si>
  <si>
    <t xml:space="preserve">      Rtl     </t>
  </si>
  <si>
    <t>joy vazquez</t>
  </si>
  <si>
    <t>Korea</t>
  </si>
  <si>
    <t>PURA-250</t>
  </si>
  <si>
    <t>kenyon joyce</t>
  </si>
  <si>
    <t>Canada</t>
  </si>
  <si>
    <t>brynne mcgowan</t>
  </si>
  <si>
    <t>angela wise</t>
  </si>
  <si>
    <t>Pure Soft Detergent - 100ml</t>
  </si>
  <si>
    <t>colette sargent</t>
  </si>
  <si>
    <t>Norfolk Island</t>
  </si>
  <si>
    <t>80</t>
  </si>
  <si>
    <t>samuel ayala</t>
  </si>
  <si>
    <t>Brazil</t>
  </si>
  <si>
    <t>Detafast Stain Remover - 800ml</t>
  </si>
  <si>
    <t>160</t>
  </si>
  <si>
    <t>isadora mcclure</t>
  </si>
  <si>
    <t>Detafast Stain Remover - 100ml</t>
  </si>
  <si>
    <t xml:space="preserve">      Retail   </t>
  </si>
  <si>
    <t>buckminster hopkins</t>
  </si>
  <si>
    <t>lani sweet</t>
  </si>
  <si>
    <t>Vanuatu</t>
  </si>
  <si>
    <t>142</t>
  </si>
  <si>
    <t>roary dixon</t>
  </si>
  <si>
    <t>hiroko acevedo</t>
  </si>
  <si>
    <t>Burundi</t>
  </si>
  <si>
    <t>germaine kidd</t>
  </si>
  <si>
    <t>noel key</t>
  </si>
  <si>
    <t>Gambia</t>
  </si>
  <si>
    <t>victoria solis</t>
  </si>
  <si>
    <t>16</t>
  </si>
  <si>
    <t>paul duke</t>
  </si>
  <si>
    <t>Puerto Rico</t>
  </si>
  <si>
    <t>nell maddox</t>
  </si>
  <si>
    <t>DETA-800</t>
  </si>
  <si>
    <t>clark orr</t>
  </si>
  <si>
    <t>brittany burris</t>
  </si>
  <si>
    <t>5</t>
  </si>
  <si>
    <t>petra mckenzie</t>
  </si>
  <si>
    <t>SUPA-250</t>
  </si>
  <si>
    <t>ivor mclaughlin</t>
  </si>
  <si>
    <t>United States Minor Outlying Islands</t>
  </si>
  <si>
    <t>Pure Soft Detergent - 500ml</t>
  </si>
  <si>
    <t>liberty mcbride</t>
  </si>
  <si>
    <t>73</t>
  </si>
  <si>
    <t>mercedes humphrey</t>
  </si>
  <si>
    <t>Turkey</t>
  </si>
  <si>
    <t>ethan gregory</t>
  </si>
  <si>
    <t>oprah ellis</t>
  </si>
  <si>
    <t>lael gould</t>
  </si>
  <si>
    <t>El Salvador</t>
  </si>
  <si>
    <t>Super Soft - 250ml</t>
  </si>
  <si>
    <t>xerxes smith</t>
  </si>
  <si>
    <t>Panama</t>
  </si>
  <si>
    <t>thomas barnes</t>
  </si>
  <si>
    <t>Mayotte</t>
  </si>
  <si>
    <t>rhona clarke</t>
  </si>
  <si>
    <t>9.99</t>
  </si>
  <si>
    <t>bell prince</t>
  </si>
  <si>
    <t>Guinea</t>
  </si>
  <si>
    <t>iliana porter</t>
  </si>
  <si>
    <t>benedict byrd</t>
  </si>
  <si>
    <t>Super Soft - 500ml</t>
  </si>
  <si>
    <t>dara cunningham</t>
  </si>
  <si>
    <t>Saint Helena</t>
  </si>
  <si>
    <t>shea cortez</t>
  </si>
  <si>
    <t>DETA-200</t>
  </si>
  <si>
    <t xml:space="preserve">Online  </t>
  </si>
  <si>
    <t>gwendolyn walton</t>
  </si>
  <si>
    <t>Cuba</t>
  </si>
  <si>
    <t>vance campos</t>
  </si>
  <si>
    <t>yael carter</t>
  </si>
  <si>
    <t>4.5</t>
  </si>
  <si>
    <t>basil vang</t>
  </si>
  <si>
    <t>latifah wall</t>
  </si>
  <si>
    <t>anika tillman</t>
  </si>
  <si>
    <t>adria kaufman</t>
  </si>
  <si>
    <t>Bouvet Island</t>
  </si>
  <si>
    <t>keaton wolfe</t>
  </si>
  <si>
    <t>French Southern Territories</t>
  </si>
  <si>
    <t>23317</t>
  </si>
  <si>
    <t>kay buckley</t>
  </si>
  <si>
    <t>Malta</t>
  </si>
  <si>
    <t>Direct</t>
  </si>
  <si>
    <t>cyrus whitley</t>
  </si>
  <si>
    <t>maxwell parker</t>
  </si>
  <si>
    <t>Falkland Islands (Malvinas)</t>
  </si>
  <si>
    <t>amery frazier</t>
  </si>
  <si>
    <t>ivory chang</t>
  </si>
  <si>
    <t>23329</t>
  </si>
  <si>
    <t>melinda cobb</t>
  </si>
  <si>
    <t>imogene bradshaw</t>
  </si>
  <si>
    <t>Niger</t>
  </si>
  <si>
    <t>leonard cardenas</t>
  </si>
  <si>
    <t>maite henson</t>
  </si>
  <si>
    <t>athena fitzpatrick</t>
  </si>
  <si>
    <t>REU</t>
  </si>
  <si>
    <t>125</t>
  </si>
  <si>
    <t>isaac wolf</t>
  </si>
  <si>
    <t>ryder conner</t>
  </si>
  <si>
    <t>Virgin Islands, British</t>
  </si>
  <si>
    <t>aretha patton</t>
  </si>
  <si>
    <t>anjolie hicks</t>
  </si>
  <si>
    <t>Turks and Caicos Islands</t>
  </si>
  <si>
    <t>fletcher jimenez</t>
  </si>
  <si>
    <t>hayes rollins</t>
  </si>
  <si>
    <t>Nepal</t>
  </si>
  <si>
    <t>65</t>
  </si>
  <si>
    <t>deacon craig</t>
  </si>
  <si>
    <t>Mongolia</t>
  </si>
  <si>
    <t>nyssa quinn</t>
  </si>
  <si>
    <t>Cocos (Keeling) Islands</t>
  </si>
  <si>
    <t>gwendolyn mccarty</t>
  </si>
  <si>
    <t>uriel benton</t>
  </si>
  <si>
    <t>South Africa</t>
  </si>
  <si>
    <t>sawyer stokes</t>
  </si>
  <si>
    <t>renee padilla</t>
  </si>
  <si>
    <t>maxine gentry</t>
  </si>
  <si>
    <t>celeste pugh</t>
  </si>
  <si>
    <t>Gabon</t>
  </si>
  <si>
    <t>rama goodwin</t>
  </si>
  <si>
    <t>ursula mcconnell</t>
  </si>
  <si>
    <t>Hungary</t>
  </si>
  <si>
    <t>george best</t>
  </si>
  <si>
    <t>Western Sahara</t>
  </si>
  <si>
    <t>phillip perkins</t>
  </si>
  <si>
    <t>isaac cooper</t>
  </si>
  <si>
    <t>Netherlands Antilles</t>
  </si>
  <si>
    <t>noble warner</t>
  </si>
  <si>
    <t>noble gilbert</t>
  </si>
  <si>
    <t>ebony mercer</t>
  </si>
  <si>
    <t>Cape Verde</t>
  </si>
  <si>
    <t>doris williams</t>
  </si>
  <si>
    <t>Trinidad and Tobago</t>
  </si>
  <si>
    <t>guinevere key</t>
  </si>
  <si>
    <t>silas battle</t>
  </si>
  <si>
    <t>levi douglas</t>
  </si>
  <si>
    <t>Tanzania, United Republic of</t>
  </si>
  <si>
    <t>jelani odonnell</t>
  </si>
  <si>
    <t>jerry alvarado</t>
  </si>
  <si>
    <t>Korea, Republic of</t>
  </si>
  <si>
    <t>amir alexander</t>
  </si>
  <si>
    <t>Liberia</t>
  </si>
  <si>
    <t>katelyn joseph</t>
  </si>
  <si>
    <t>asher weber</t>
  </si>
  <si>
    <t>winifred cantu</t>
  </si>
  <si>
    <t>josiah yates</t>
  </si>
  <si>
    <t>Bangladesh</t>
  </si>
  <si>
    <t>Distributor</t>
  </si>
  <si>
    <t xml:space="preserve"> Online</t>
  </si>
  <si>
    <t xml:space="preserve">      Online   </t>
  </si>
  <si>
    <t xml:space="preserve"> Oln</t>
  </si>
  <si>
    <t>oln</t>
  </si>
  <si>
    <t xml:space="preserve">      Oln  </t>
  </si>
  <si>
    <t xml:space="preserve"> Rtl</t>
  </si>
  <si>
    <t xml:space="preserve"> Retail</t>
  </si>
  <si>
    <t>Product_ID</t>
  </si>
  <si>
    <t>Product_Description</t>
  </si>
  <si>
    <t>Brand</t>
  </si>
  <si>
    <t>Size</t>
  </si>
  <si>
    <t>Data LookUp</t>
  </si>
  <si>
    <t>Abreviation</t>
  </si>
  <si>
    <t xml:space="preserve">Product ID </t>
  </si>
  <si>
    <t>Last Name</t>
  </si>
  <si>
    <t>Product ID - Clean</t>
  </si>
  <si>
    <t>Sales Channel - Clean</t>
  </si>
  <si>
    <t>Croatia</t>
  </si>
  <si>
    <t>Indonesia</t>
  </si>
  <si>
    <t>Dominican Republic</t>
  </si>
  <si>
    <t>Poland</t>
  </si>
  <si>
    <t>Moldova</t>
  </si>
  <si>
    <t>Saint Barthelemy</t>
  </si>
  <si>
    <t>Denmark</t>
  </si>
  <si>
    <t>Philippines</t>
  </si>
  <si>
    <t>India</t>
  </si>
  <si>
    <t>Georgia</t>
  </si>
  <si>
    <t>Chad</t>
  </si>
  <si>
    <t>Kazakhstan</t>
  </si>
  <si>
    <t>Azerbaijan</t>
  </si>
  <si>
    <t>Tuvalu</t>
  </si>
  <si>
    <t>Yemen</t>
  </si>
  <si>
    <t>Tunisia</t>
  </si>
  <si>
    <t>United States</t>
  </si>
  <si>
    <t>Albania</t>
  </si>
  <si>
    <t>Syria</t>
  </si>
  <si>
    <t>Niue</t>
  </si>
  <si>
    <t>Sierra Leone</t>
  </si>
  <si>
    <t>Saudi Arabia</t>
  </si>
  <si>
    <t>Uruguay</t>
  </si>
  <si>
    <t>Madagascar</t>
  </si>
  <si>
    <t>Tonga</t>
  </si>
  <si>
    <t>Nigeria</t>
  </si>
  <si>
    <t>Zimbabwe</t>
  </si>
  <si>
    <t>Finland</t>
  </si>
  <si>
    <t>Fiji</t>
  </si>
  <si>
    <t>Colombia</t>
  </si>
  <si>
    <t>Morocco</t>
  </si>
  <si>
    <t>Kyrgyzstan</t>
  </si>
  <si>
    <t>Slovenia</t>
  </si>
  <si>
    <t>Mauritania</t>
  </si>
  <si>
    <t>Units</t>
  </si>
  <si>
    <t>Size Units</t>
  </si>
  <si>
    <t>Size with units</t>
  </si>
  <si>
    <t>Size Number</t>
  </si>
  <si>
    <t>- value distributor ID</t>
  </si>
  <si>
    <t>- Change format on dates</t>
  </si>
  <si>
    <t>- Use left and find to separate brand (ex. Pure Soft Detergent)</t>
  </si>
  <si>
    <t>- use right len and find to separate product size with units</t>
  </si>
  <si>
    <t>- separate unit size and unit with left and right formulas</t>
  </si>
  <si>
    <t>3) Lookup sales channel using an iferror, trim and vlookup</t>
  </si>
  <si>
    <t>- notice that the import file had both Product ID's and Product Descriptions. Use a vlookup to first lookup the ID and if returns an error use the description to lookup the ID</t>
  </si>
  <si>
    <t>- use the cleaned product ID column to look up the rest of the columns</t>
  </si>
  <si>
    <t>- Separate last name and capitalize with proper</t>
  </si>
  <si>
    <t>- value quantity</t>
  </si>
  <si>
    <t>- lookup the trimmed value in the raw data set against the Data Lookup for sales table abbreviation. If the result cant find an abbreviation, use the trimmed value from the raw dataset</t>
  </si>
  <si>
    <t>4) Use the product information table to populate product ID, quantity, size, size unit, and price</t>
  </si>
  <si>
    <t>Last Name of the distributor only</t>
  </si>
  <si>
    <t>Product ID's are only the values found in the Data_Lookup tab, Product_ID column</t>
  </si>
  <si>
    <t>Sales channel should be standardized as whole words</t>
  </si>
  <si>
    <t>lookup using Data_Lookup</t>
  </si>
  <si>
    <t>Calculate</t>
  </si>
  <si>
    <t>1) Create Data_Lookup reference for Product ID</t>
  </si>
  <si>
    <t>2) Complete Data)Set_Clean using Data_Set_Raw and the Data_Lookup</t>
  </si>
  <si>
    <t>Pure Soft Detergent</t>
  </si>
  <si>
    <t>Use formulas to complete</t>
  </si>
  <si>
    <t>Our company is going through a strategic review of its sales force and is interested in the performance of the best sales people from the prior year. The sales organization has provided you a list of the best performers from last year below and the sales data for thie current year. However the sales data from the current year was compiled from multiple source systems. Please populate the table to help with the strategic review.</t>
  </si>
  <si>
    <t>Our company is going through a strategic review of its sales force and is curious on the performance of the best sales people from the prior year. The sales organization has provided you a list of the best performers from last year below and the sales data for this year. Please populate the table to help with the strategic review.</t>
  </si>
  <si>
    <t>Hints:</t>
  </si>
  <si>
    <t>First cleanup the data in the Data_Set_Raw and create a clean dataset in the spreadsheet provided on the Data_Set_Clean tab. Then use a vlookup to pull the relevant data into the spreadsheet below.</t>
  </si>
  <si>
    <t>Data_Set_Clean</t>
  </si>
  <si>
    <t>Data Set Raw</t>
  </si>
  <si>
    <t>Little</t>
  </si>
  <si>
    <t>Mcclure</t>
  </si>
  <si>
    <t>Ellis</t>
  </si>
  <si>
    <t>Porter</t>
  </si>
  <si>
    <t>Vang</t>
  </si>
  <si>
    <t>Wall</t>
  </si>
  <si>
    <t>Whitley</t>
  </si>
  <si>
    <t>Alexander</t>
  </si>
  <si>
    <t>Cummings</t>
  </si>
  <si>
    <t>Smith</t>
  </si>
  <si>
    <t>Cortez</t>
  </si>
  <si>
    <t>Frazier</t>
  </si>
  <si>
    <t>Henson</t>
  </si>
  <si>
    <t>Hicks</t>
  </si>
  <si>
    <t>Jimenez</t>
  </si>
  <si>
    <t>Cantu</t>
  </si>
  <si>
    <t>Ayala</t>
  </si>
  <si>
    <t>Acevedo</t>
  </si>
  <si>
    <t>Maddox</t>
  </si>
  <si>
    <t>Humphrey</t>
  </si>
  <si>
    <t>Gregory</t>
  </si>
  <si>
    <t>Padilla</t>
  </si>
  <si>
    <t>Goodwin</t>
  </si>
  <si>
    <t>Mcconnell</t>
  </si>
  <si>
    <t>Gilbert</t>
  </si>
  <si>
    <t>Douglas</t>
  </si>
  <si>
    <t>Odonnell</t>
  </si>
  <si>
    <t>Hernandez</t>
  </si>
  <si>
    <t>Knowles</t>
  </si>
  <si>
    <t>Wise</t>
  </si>
  <si>
    <t>Key</t>
  </si>
  <si>
    <t>Orr</t>
  </si>
  <si>
    <t>Cunningham</t>
  </si>
  <si>
    <t>Campos</t>
  </si>
  <si>
    <t>Battle</t>
  </si>
  <si>
    <t>Alvarado</t>
  </si>
  <si>
    <t>Weber</t>
  </si>
  <si>
    <t>Santana</t>
  </si>
  <si>
    <t>Juarez</t>
  </si>
  <si>
    <t>Sargent</t>
  </si>
  <si>
    <t>Hopkins</t>
  </si>
  <si>
    <t>Kidd</t>
  </si>
  <si>
    <t>Duke</t>
  </si>
  <si>
    <t>Barnes</t>
  </si>
  <si>
    <t>Quinn</t>
  </si>
  <si>
    <t>Pugh</t>
  </si>
  <si>
    <t>Mercer</t>
  </si>
  <si>
    <t>Weaver</t>
  </si>
  <si>
    <t>Vazquez</t>
  </si>
  <si>
    <t>Dixon</t>
  </si>
  <si>
    <t>Solis</t>
  </si>
  <si>
    <t>Carter</t>
  </si>
  <si>
    <t>Tillman</t>
  </si>
  <si>
    <t>Buckley</t>
  </si>
  <si>
    <t>Cobb</t>
  </si>
  <si>
    <t>Conner</t>
  </si>
  <si>
    <t>Stokes</t>
  </si>
  <si>
    <t>Best</t>
  </si>
  <si>
    <t>Hopper</t>
  </si>
  <si>
    <t>Mclaughlin</t>
  </si>
  <si>
    <t>Chang</t>
  </si>
  <si>
    <t>Wolf</t>
  </si>
  <si>
    <t>Rollins</t>
  </si>
  <si>
    <t>Perkins</t>
  </si>
  <si>
    <t>Rivers</t>
  </si>
  <si>
    <t>Bush</t>
  </si>
  <si>
    <t>Joyce</t>
  </si>
  <si>
    <t>Clarke</t>
  </si>
  <si>
    <t>Patton</t>
  </si>
  <si>
    <t>Benton</t>
  </si>
  <si>
    <t>Gentry</t>
  </si>
  <si>
    <t>Cooper</t>
  </si>
  <si>
    <t>Warner</t>
  </si>
  <si>
    <t>Yates</t>
  </si>
  <si>
    <t>Fields</t>
  </si>
  <si>
    <t>Macdonald</t>
  </si>
  <si>
    <t>Mcgowan</t>
  </si>
  <si>
    <t>Sweet</t>
  </si>
  <si>
    <t>Mcbride</t>
  </si>
  <si>
    <t>Wolfe</t>
  </si>
  <si>
    <t>Craig</t>
  </si>
  <si>
    <t>Mckenzie</t>
  </si>
  <si>
    <t>Spencer</t>
  </si>
  <si>
    <t>Garza</t>
  </si>
  <si>
    <t>Mckinney</t>
  </si>
  <si>
    <t>Burris</t>
  </si>
  <si>
    <t>Prince</t>
  </si>
  <si>
    <t>Parker</t>
  </si>
  <si>
    <t>Fitzpatrick</t>
  </si>
  <si>
    <t>Mccarty</t>
  </si>
  <si>
    <t>Gould</t>
  </si>
  <si>
    <t>Walton</t>
  </si>
  <si>
    <t>Kaufman</t>
  </si>
  <si>
    <t>Cardenas</t>
  </si>
  <si>
    <t>Joseph</t>
  </si>
  <si>
    <t>Byrd</t>
  </si>
  <si>
    <t>Bradshaw</t>
  </si>
  <si>
    <t>Williams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</si>
</sst>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_(* #,##0_);_(* \(#,##0\);_(* &quot;-&quot;??_);_(@_)"/>
    <numFmt numFmtId="165" formatCode="_(* #,##0_);_(* \(#,##0\);_(* &quot;-&quot;_);@_)"/>
    <numFmt numFmtId="166" formatCode="0%_);\(0%\)"/>
    <numFmt numFmtId="167" formatCode="&quot;$&quot;#,##0.00"/>
  </numFmts>
  <fonts count="27">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rgb="FF000000"/>
      <name val="Arial"/>
      <family val="2"/>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5" tint="0.79998168889431442"/>
        <bgColor indexed="64"/>
      </patternFill>
    </fill>
  </fills>
  <borders count="35">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style="medium">
        <color auto="1"/>
      </left>
      <right/>
      <top style="dotted">
        <color auto="1"/>
      </top>
      <bottom style="medium">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style="thin">
        <color theme="0" tint="-0.34998626667073579"/>
      </left>
      <right style="medium">
        <color auto="1"/>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thin">
        <color theme="0" tint="-0.34998626667073579"/>
      </left>
      <right style="medium">
        <color auto="1"/>
      </right>
      <top style="dotted">
        <color auto="1"/>
      </top>
      <bottom style="dotted">
        <color auto="1"/>
      </bottom>
      <diagonal/>
    </border>
    <border>
      <left/>
      <right style="thin">
        <color theme="0" tint="-0.34998626667073579"/>
      </right>
      <top style="dotted">
        <color auto="1"/>
      </top>
      <bottom style="medium">
        <color auto="1"/>
      </bottom>
      <diagonal/>
    </border>
    <border>
      <left style="thin">
        <color theme="0" tint="-0.34998626667073579"/>
      </left>
      <right style="thin">
        <color theme="0" tint="-0.34998626667073579"/>
      </right>
      <top style="dotted">
        <color auto="1"/>
      </top>
      <bottom style="medium">
        <color auto="1"/>
      </bottom>
      <diagonal/>
    </border>
    <border>
      <left style="thin">
        <color theme="0" tint="-0.34998626667073579"/>
      </left>
      <right style="medium">
        <color auto="1"/>
      </right>
      <top style="dotted">
        <color auto="1"/>
      </top>
      <bottom style="medium">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ck">
        <color auto="1"/>
      </bottom>
      <diagonal/>
    </border>
    <border>
      <left/>
      <right style="thick">
        <color auto="1"/>
      </right>
      <top style="thin">
        <color auto="1"/>
      </top>
      <bottom style="thick">
        <color auto="1"/>
      </bottom>
      <diagonal/>
    </border>
    <border>
      <left style="medium">
        <color auto="1"/>
      </left>
      <right style="medium">
        <color auto="1"/>
      </right>
      <top style="medium">
        <color auto="1"/>
      </top>
      <bottom style="dotted">
        <color auto="1"/>
      </bottom>
      <diagonal/>
    </border>
    <border>
      <left style="medium">
        <color auto="1"/>
      </left>
      <right style="thin">
        <color theme="0" tint="-0.34998626667073579"/>
      </right>
      <top style="dotted">
        <color auto="1"/>
      </top>
      <bottom style="dotted">
        <color auto="1"/>
      </bottom>
      <diagonal/>
    </border>
    <border>
      <left style="medium">
        <color auto="1"/>
      </left>
      <right style="thin">
        <color theme="0" tint="-0.34998626667073579"/>
      </right>
      <top style="dotted">
        <color auto="1"/>
      </top>
      <bottom style="medium">
        <color auto="1"/>
      </bottom>
      <diagonal/>
    </border>
    <border>
      <left style="medium">
        <color auto="1"/>
      </left>
      <right style="thin">
        <color theme="0" tint="-0.34998626667073579"/>
      </right>
      <top style="medium">
        <color auto="1"/>
      </top>
      <bottom style="dotted">
        <color auto="1"/>
      </bottom>
      <diagonal/>
    </border>
    <border>
      <left/>
      <right style="medium">
        <color auto="1"/>
      </right>
      <top style="medium">
        <color auto="1"/>
      </top>
      <bottom style="dotted">
        <color auto="1"/>
      </bottom>
      <diagonal/>
    </border>
    <border>
      <left style="thin">
        <color theme="0" tint="-0.34998626667073579"/>
      </left>
      <right/>
      <top style="medium">
        <color auto="1"/>
      </top>
      <bottom style="dotted">
        <color auto="1"/>
      </bottom>
      <diagonal/>
    </border>
    <border>
      <left style="thin">
        <color theme="0" tint="-0.34998626667073579"/>
      </left>
      <right/>
      <top style="dotted">
        <color auto="1"/>
      </top>
      <bottom style="dotted">
        <color auto="1"/>
      </bottom>
      <diagonal/>
    </border>
    <border>
      <left style="thin">
        <color theme="0" tint="-0.34998626667073579"/>
      </left>
      <right/>
      <top style="dotted">
        <color auto="1"/>
      </top>
      <bottom style="medium">
        <color auto="1"/>
      </bottom>
      <diagonal/>
    </border>
  </borders>
  <cellStyleXfs count="31">
    <xf numFmtId="165" fontId="0" fillId="0" borderId="0"/>
    <xf numFmtId="43" fontId="1" fillId="0" borderId="0" applyFont="0" applyFill="0" applyBorder="0" applyAlignment="0" applyProtection="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4" fillId="0" borderId="0" applyAlignment="0" applyProtection="0"/>
    <xf numFmtId="49" fontId="15" fillId="0" borderId="1" applyFill="0" applyProtection="0">
      <alignment horizontal="right" wrapText="1"/>
    </xf>
    <xf numFmtId="49" fontId="16" fillId="0" borderId="0" applyProtection="0">
      <alignment wrapText="1"/>
    </xf>
    <xf numFmtId="49" fontId="17" fillId="0" borderId="7" applyFill="0" applyProtection="0">
      <alignment horizontal="right" wrapText="1"/>
    </xf>
    <xf numFmtId="49" fontId="17" fillId="0" borderId="0" applyProtection="0">
      <alignment wrapText="1"/>
    </xf>
    <xf numFmtId="0" fontId="14" fillId="2" borderId="0" applyNumberFormat="0" applyBorder="0" applyAlignment="0" applyProtection="0"/>
    <xf numFmtId="0" fontId="11" fillId="3" borderId="0" applyNumberFormat="0" applyBorder="0" applyAlignment="0" applyProtection="0"/>
    <xf numFmtId="0" fontId="20" fillId="4" borderId="0" applyNumberFormat="0" applyBorder="0" applyAlignment="0" applyProtection="0"/>
    <xf numFmtId="0" fontId="18" fillId="5" borderId="2" applyNumberFormat="0" applyAlignment="0" applyProtection="0"/>
    <xf numFmtId="0" fontId="21" fillId="6" borderId="3" applyNumberFormat="0" applyAlignment="0" applyProtection="0"/>
    <xf numFmtId="0" fontId="12" fillId="6" borderId="2" applyNumberFormat="0" applyAlignment="0" applyProtection="0"/>
    <xf numFmtId="0" fontId="19"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3" fillId="0" borderId="0" applyNumberFormat="0" applyFill="0" applyBorder="0" applyAlignment="0" applyProtection="0"/>
    <xf numFmtId="0" fontId="25" fillId="0" borderId="10" applyNumberFormat="0" applyFill="0" applyAlignment="0" applyProtection="0"/>
    <xf numFmtId="165" fontId="6" fillId="0" borderId="0" applyNumberFormat="0" applyFill="0" applyBorder="0" applyAlignment="0" applyProtection="0"/>
    <xf numFmtId="165" fontId="9" fillId="10" borderId="0" applyNumberFormat="0" applyFont="0" applyBorder="0" applyAlignment="0" applyProtection="0"/>
    <xf numFmtId="0" fontId="9" fillId="0" borderId="0" applyFill="0" applyBorder="0" applyProtection="0"/>
    <xf numFmtId="165" fontId="9" fillId="11" borderId="0" applyNumberFormat="0" applyFont="0" applyBorder="0" applyAlignment="0" applyProtection="0"/>
    <xf numFmtId="166" fontId="9" fillId="0" borderId="0" applyFill="0" applyBorder="0" applyAlignment="0" applyProtection="0"/>
    <xf numFmtId="0" fontId="22" fillId="0" borderId="0" applyNumberFormat="0" applyAlignment="0" applyProtection="0"/>
    <xf numFmtId="0" fontId="6" fillId="0" borderId="0" applyFill="0" applyProtection="0">
      <alignment wrapText="1"/>
    </xf>
    <xf numFmtId="0" fontId="6" fillId="0" borderId="8" applyFill="0" applyProtection="0">
      <alignment wrapText="1"/>
    </xf>
    <xf numFmtId="165" fontId="23" fillId="0" borderId="9" applyNumberFormat="0" applyFill="0" applyAlignment="0" applyProtection="0"/>
    <xf numFmtId="0" fontId="23" fillId="0" borderId="10" applyNumberFormat="0" applyFill="0" applyAlignment="0" applyProtection="0"/>
  </cellStyleXfs>
  <cellXfs count="41">
    <xf numFmtId="165" fontId="0" fillId="0" borderId="0" xfId="0"/>
    <xf numFmtId="165" fontId="8" fillId="0" borderId="0" xfId="4" applyNumberFormat="1" applyFont="1" applyFill="1" applyBorder="1"/>
    <xf numFmtId="165" fontId="2" fillId="0" borderId="0" xfId="0" applyFont="1"/>
    <xf numFmtId="165" fontId="4" fillId="0" borderId="0" xfId="0" applyFont="1"/>
    <xf numFmtId="165" fontId="5" fillId="0" borderId="0" xfId="0" applyFont="1"/>
    <xf numFmtId="165" fontId="0" fillId="0" borderId="0" xfId="0"/>
    <xf numFmtId="165" fontId="0" fillId="0" borderId="0" xfId="0" applyAlignment="1">
      <alignment horizontal="left" vertical="top" wrapText="1"/>
    </xf>
    <xf numFmtId="164" fontId="10" fillId="9" borderId="11" xfId="1" applyNumberFormat="1" applyFont="1" applyFill="1" applyBorder="1" applyAlignment="1">
      <alignment horizontal="left" vertical="top"/>
    </xf>
    <xf numFmtId="1" fontId="0" fillId="12" borderId="12" xfId="0" applyNumberFormat="1" applyFill="1" applyBorder="1"/>
    <xf numFmtId="1" fontId="0" fillId="12" borderId="13" xfId="0" applyNumberFormat="1" applyFill="1" applyBorder="1"/>
    <xf numFmtId="164" fontId="10" fillId="9" borderId="14" xfId="1" applyNumberFormat="1" applyFont="1" applyFill="1" applyBorder="1" applyAlignment="1">
      <alignment horizontal="left" vertical="top"/>
    </xf>
    <xf numFmtId="164" fontId="10" fillId="9" borderId="15" xfId="1" applyNumberFormat="1" applyFont="1" applyFill="1" applyBorder="1" applyAlignment="1">
      <alignment horizontal="left" vertical="top"/>
    </xf>
    <xf numFmtId="164" fontId="10" fillId="9" borderId="16" xfId="1" applyNumberFormat="1" applyFont="1" applyFill="1" applyBorder="1" applyAlignment="1">
      <alignment horizontal="left" vertical="top"/>
    </xf>
    <xf numFmtId="165" fontId="0" fillId="0" borderId="17" xfId="0" applyBorder="1"/>
    <xf numFmtId="165" fontId="0" fillId="0" borderId="18" xfId="0" applyBorder="1"/>
    <xf numFmtId="165" fontId="0" fillId="0" borderId="19" xfId="0" applyBorder="1"/>
    <xf numFmtId="165" fontId="0" fillId="0" borderId="20" xfId="0" applyBorder="1"/>
    <xf numFmtId="165" fontId="0" fillId="0" borderId="21" xfId="0" applyBorder="1"/>
    <xf numFmtId="165" fontId="0" fillId="0" borderId="22" xfId="0" applyBorder="1"/>
    <xf numFmtId="165" fontId="7" fillId="13" borderId="23" xfId="0" applyFont="1" applyFill="1" applyBorder="1"/>
    <xf numFmtId="165" fontId="0" fillId="14" borderId="24" xfId="0" applyFill="1" applyBorder="1"/>
    <xf numFmtId="165" fontId="7" fillId="13" borderId="25" xfId="0" applyFont="1" applyFill="1" applyBorder="1"/>
    <xf numFmtId="165" fontId="0" fillId="14" borderId="26" xfId="0" applyFill="1" applyBorder="1"/>
    <xf numFmtId="165" fontId="23" fillId="0" borderId="0" xfId="0" applyFont="1"/>
    <xf numFmtId="165" fontId="0" fillId="0" borderId="0" xfId="0" applyAlignment="1">
      <alignment horizontal="left" vertical="top" wrapText="1"/>
    </xf>
    <xf numFmtId="164" fontId="10" fillId="9" borderId="27" xfId="1" applyNumberFormat="1" applyFont="1" applyFill="1" applyBorder="1" applyAlignment="1">
      <alignment horizontal="left" vertical="top"/>
    </xf>
    <xf numFmtId="165" fontId="0" fillId="0" borderId="28" xfId="0" applyBorder="1"/>
    <xf numFmtId="165" fontId="0" fillId="0" borderId="29" xfId="0" applyBorder="1"/>
    <xf numFmtId="164" fontId="10" fillId="9" borderId="30" xfId="1" applyNumberFormat="1" applyFont="1" applyFill="1" applyBorder="1" applyAlignment="1">
      <alignment horizontal="left" vertical="top"/>
    </xf>
    <xf numFmtId="164" fontId="10" fillId="9" borderId="31" xfId="1" applyNumberFormat="1" applyFont="1" applyFill="1" applyBorder="1" applyAlignment="1">
      <alignment horizontal="left" vertical="top"/>
    </xf>
    <xf numFmtId="14" fontId="0" fillId="0" borderId="18" xfId="0" applyNumberFormat="1" applyBorder="1"/>
    <xf numFmtId="167" fontId="0" fillId="0" borderId="18" xfId="0" applyNumberFormat="1" applyBorder="1"/>
    <xf numFmtId="164" fontId="10" fillId="9" borderId="32" xfId="1" applyNumberFormat="1" applyFont="1" applyFill="1" applyBorder="1" applyAlignment="1">
      <alignment horizontal="left" vertical="top"/>
    </xf>
    <xf numFmtId="165" fontId="0" fillId="0" borderId="33" xfId="0" applyBorder="1"/>
    <xf numFmtId="165" fontId="0" fillId="0" borderId="34" xfId="0" applyBorder="1"/>
    <xf numFmtId="165" fontId="0" fillId="0" borderId="0" xfId="0" quotePrefix="1"/>
    <xf numFmtId="0" fontId="0" fillId="0" borderId="0" xfId="0" applyNumberFormat="1" applyAlignment="1">
      <alignment horizontal="left" vertical="top" wrapText="1"/>
    </xf>
    <xf numFmtId="165" fontId="0" fillId="0" borderId="0" xfId="0" applyAlignment="1">
      <alignment horizontal="left" vertical="top" wrapText="1"/>
    </xf>
    <xf numFmtId="167" fontId="10" fillId="9" borderId="15" xfId="1" applyNumberFormat="1" applyFont="1" applyFill="1" applyBorder="1" applyAlignment="1">
      <alignment horizontal="left" vertical="top"/>
    </xf>
    <xf numFmtId="167" fontId="0" fillId="0" borderId="17" xfId="0" applyNumberFormat="1" applyBorder="1"/>
    <xf numFmtId="167" fontId="0" fillId="14" borderId="26" xfId="0" applyNumberFormat="1" applyFill="1" applyBorder="1"/>
  </cellXfs>
  <cellStyles count="31">
    <cellStyle name="Bad" xfId="11" builtinId="27" customBuiltin="1"/>
    <cellStyle name="Calculation" xfId="15" builtinId="22" customBuiltin="1"/>
    <cellStyle name="Check Cell" xfId="17" builtinId="23" customBuiltin="1"/>
    <cellStyle name="Comma" xfId="1" builtinId="3"/>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te" xfId="18" builtinId="10" customBuiltin="1"/>
    <cellStyle name="Output" xfId="14" builtinId="21" customBuiltin="1"/>
    <cellStyle name="Percent" xfId="2" builtinId="5" customBuiltin="1"/>
    <cellStyle name="Smart Bold" xfId="21"/>
    <cellStyle name="Smart Forecast" xfId="22"/>
    <cellStyle name="Smart General" xfId="23"/>
    <cellStyle name="Smart Highlight" xfId="24"/>
    <cellStyle name="Smart Percent" xfId="25"/>
    <cellStyle name="Smart Source" xfId="26"/>
    <cellStyle name="Smart Subtitle 1" xfId="3"/>
    <cellStyle name="Smart Subtitle 2" xfId="27"/>
    <cellStyle name="Smart Subtitle 3" xfId="28"/>
    <cellStyle name="Smart Subtotal" xfId="29"/>
    <cellStyle name="Smart Title" xfId="4"/>
    <cellStyle name="Smart Total" xfId="30"/>
    <cellStyle name="Title" xfId="5" builtinId="15" customBuiltin="1"/>
    <cellStyle name="Total" xfId="20"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657225</xdr:colOff>
          <xdr:row>30</xdr:row>
          <xdr:rowOff>85725</xdr:rowOff>
        </xdr:from>
        <xdr:to>
          <xdr:col>5</xdr:col>
          <xdr:colOff>723900</xdr:colOff>
          <xdr:row>34</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1219200</xdr:colOff>
          <xdr:row>6</xdr:row>
          <xdr:rowOff>123825</xdr:rowOff>
        </xdr:from>
        <xdr:to>
          <xdr:col>6</xdr:col>
          <xdr:colOff>581025</xdr:colOff>
          <xdr:row>9</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2200275</xdr:colOff>
          <xdr:row>2</xdr:row>
          <xdr:rowOff>66675</xdr:rowOff>
        </xdr:from>
        <xdr:to>
          <xdr:col>6</xdr:col>
          <xdr:colOff>190500</xdr:colOff>
          <xdr:row>5</xdr:row>
          <xdr:rowOff>9525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32</xdr:row>
          <xdr:rowOff>19050</xdr:rowOff>
        </xdr:from>
        <xdr:to>
          <xdr:col>5</xdr:col>
          <xdr:colOff>400050</xdr:colOff>
          <xdr:row>35</xdr:row>
          <xdr:rowOff>9525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1628775</xdr:colOff>
          <xdr:row>1</xdr:row>
          <xdr:rowOff>57150</xdr:rowOff>
        </xdr:from>
        <xdr:to>
          <xdr:col>7</xdr:col>
          <xdr:colOff>152400</xdr:colOff>
          <xdr:row>3</xdr:row>
          <xdr:rowOff>133350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542925</xdr:colOff>
          <xdr:row>7</xdr:row>
          <xdr:rowOff>28575</xdr:rowOff>
        </xdr:from>
        <xdr:to>
          <xdr:col>7</xdr:col>
          <xdr:colOff>361950</xdr:colOff>
          <xdr:row>10</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workbookViewId="0">
      <selection activeCell="H1" sqref="H1"/>
    </sheetView>
  </sheetViews>
  <sheetFormatPr defaultRowHeight="12"/>
  <sheetData>
    <row r="1" spans="1:1" ht="18">
      <c r="A1" s="3" t="s">
        <v>1</v>
      </c>
    </row>
    <row r="2" spans="1:1" ht="18">
      <c r="A2" s="3" t="s">
        <v>2</v>
      </c>
    </row>
    <row r="3" spans="1:1" ht="18">
      <c r="A3" s="3"/>
    </row>
    <row r="4" spans="1:1" ht="12.75">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53"/>
  <sheetViews>
    <sheetView showGridLines="0" tabSelected="1" zoomScaleNormal="100" workbookViewId="0">
      <selection activeCell="D36" sqref="D36"/>
    </sheetView>
  </sheetViews>
  <sheetFormatPr defaultColWidth="9" defaultRowHeight="12"/>
  <cols>
    <col min="1" max="1" width="9" style="5"/>
    <col min="2" max="2" width="32.5703125" style="5" bestFit="1" customWidth="1"/>
    <col min="3" max="3" width="26.140625" style="5" bestFit="1" customWidth="1"/>
    <col min="4" max="4" width="23.85546875" style="5" customWidth="1"/>
    <col min="5" max="5" width="19.85546875" style="5" bestFit="1" customWidth="1"/>
    <col min="6" max="6" width="18.42578125" style="5" customWidth="1"/>
    <col min="7" max="7" width="19.28515625" style="5" bestFit="1" customWidth="1"/>
    <col min="8" max="8" width="12.7109375" style="5" customWidth="1"/>
    <col min="9" max="9" width="17.85546875" style="5" bestFit="1" customWidth="1"/>
    <col min="10" max="10" width="17.85546875" style="5" customWidth="1"/>
    <col min="11" max="11" width="13.28515625" style="5" bestFit="1" customWidth="1"/>
    <col min="12" max="16384" width="9" style="5"/>
  </cols>
  <sheetData>
    <row r="1" spans="1:12" ht="12.75">
      <c r="A1" s="4" t="str">
        <f>'Cover Page'!A1</f>
        <v>Problem Solving With Excel</v>
      </c>
    </row>
    <row r="2" spans="1:12" ht="12.75">
      <c r="A2" s="4" t="str">
        <f>'Cover Page'!A2</f>
        <v>Week 2</v>
      </c>
    </row>
    <row r="3" spans="1:12" ht="12.75">
      <c r="A3" s="4" t="s">
        <v>3</v>
      </c>
    </row>
    <row r="7" spans="1:12" ht="18.75">
      <c r="B7" s="1" t="s">
        <v>4</v>
      </c>
    </row>
    <row r="8" spans="1:12" ht="41.45" customHeight="1">
      <c r="B8" s="36" t="s">
        <v>293</v>
      </c>
      <c r="C8" s="36"/>
      <c r="D8" s="36"/>
      <c r="E8" s="36"/>
      <c r="F8" s="36"/>
      <c r="G8" s="36"/>
      <c r="H8" s="36"/>
      <c r="I8" s="36"/>
      <c r="J8" s="36"/>
      <c r="K8" s="36"/>
      <c r="L8" s="36"/>
    </row>
    <row r="9" spans="1:12" ht="7.9" customHeight="1">
      <c r="B9" s="24"/>
      <c r="C9" s="24"/>
      <c r="D9" s="24"/>
      <c r="E9" s="24"/>
      <c r="F9" s="24"/>
      <c r="G9" s="24"/>
      <c r="H9" s="24"/>
      <c r="I9" s="24"/>
      <c r="J9" s="24"/>
      <c r="K9" s="24"/>
      <c r="L9" s="24"/>
    </row>
    <row r="10" spans="1:12" ht="22.15" customHeight="1">
      <c r="B10" s="37" t="s">
        <v>296</v>
      </c>
      <c r="C10" s="37"/>
      <c r="D10" s="37"/>
      <c r="E10" s="37"/>
      <c r="F10" s="37"/>
      <c r="G10" s="37"/>
      <c r="H10" s="37"/>
      <c r="I10" s="37"/>
      <c r="J10" s="37"/>
      <c r="K10" s="37"/>
      <c r="L10" s="37"/>
    </row>
    <row r="11" spans="1:12" ht="9.6" customHeight="1" thickBot="1">
      <c r="B11" s="24"/>
      <c r="C11" s="24"/>
      <c r="D11" s="24"/>
      <c r="E11" s="24"/>
      <c r="F11" s="24"/>
      <c r="G11" s="24"/>
      <c r="H11" s="24"/>
      <c r="I11" s="24"/>
      <c r="J11" s="24"/>
      <c r="K11" s="24"/>
      <c r="L11" s="24"/>
    </row>
    <row r="12" spans="1:12" ht="15.75">
      <c r="B12" s="7" t="s">
        <v>14</v>
      </c>
      <c r="C12" s="10" t="s">
        <v>11</v>
      </c>
      <c r="D12" s="11" t="s">
        <v>5</v>
      </c>
      <c r="E12" s="11" t="s">
        <v>6</v>
      </c>
      <c r="F12" s="11" t="s">
        <v>7</v>
      </c>
      <c r="G12" s="11" t="s">
        <v>8</v>
      </c>
      <c r="H12" s="11" t="s">
        <v>9</v>
      </c>
      <c r="I12" s="11" t="s">
        <v>227</v>
      </c>
      <c r="J12" s="32" t="s">
        <v>268</v>
      </c>
      <c r="K12" s="12" t="s">
        <v>10</v>
      </c>
    </row>
    <row r="13" spans="1:12">
      <c r="B13" s="8">
        <v>23264</v>
      </c>
      <c r="C13" s="13" t="str">
        <f>IFERROR(VLOOKUP(B13,Data_Set_Clean!B9:D108,3,FALSE),"Name not Found")</f>
        <v>Douglas</v>
      </c>
      <c r="D13" s="13" t="str">
        <f>IFERROR(VLOOKUP(B13,Data_Set_Clean!B9:E108,4,FALSE),"Country not Found")</f>
        <v>Tanzania, United Republic of</v>
      </c>
      <c r="E13" s="13" t="str">
        <f>IFERROR(VLOOKUP(B13,Data_Set_Clean!B9:G108,6,FALSE),"Channel not Found")</f>
        <v>Online</v>
      </c>
      <c r="F13" s="14" t="str">
        <f>IFERROR(VLOOKUP(B13,Data_Set_Clean!B9:F108,5,FALSE),"Product ID not Found")</f>
        <v>PURA-250</v>
      </c>
      <c r="G13" s="13">
        <f>IFERROR(VLOOKUP(B13,Data_Set_Clean!B9:I108,8,FALSE),0)</f>
        <v>205</v>
      </c>
      <c r="H13" s="39">
        <f>IFERROR(VLOOKUP(B13,Data_Set_Clean!B9:M108,11,FALSE),0)</f>
        <v>9</v>
      </c>
      <c r="I13" s="13">
        <f>IFERROR(VLOOKUP(B13,Data_Set_Clean!B9:M108,9,FALSE),"Size not Found")</f>
        <v>250</v>
      </c>
      <c r="J13" s="13" t="str">
        <f>IFERROR(VLOOKUP(B13,Data_Set_Clean!B9:M108,10,FALSE),"Units not Found")</f>
        <v>ml</v>
      </c>
      <c r="K13" s="39">
        <f>IFERROR(VLOOKUP(B1:B13,Data_Set_Clean!B9:M108,12,FALSE),0)</f>
        <v>1845</v>
      </c>
    </row>
    <row r="14" spans="1:12">
      <c r="B14" s="8">
        <v>23371</v>
      </c>
      <c r="C14" s="13" t="str">
        <f>IFERROR(VLOOKUP(B14,Data_Set_Clean!B10:D109,3,FALSE),"Name not Found")</f>
        <v>Williams</v>
      </c>
      <c r="D14" s="13" t="str">
        <f>IFERROR(VLOOKUP(B14,Data_Set_Clean!B10:E109,4,FALSE),"Country not Found")</f>
        <v>Trinidad and Tobago</v>
      </c>
      <c r="E14" s="13" t="str">
        <f>IFERROR(VLOOKUP(B14,Data_Set_Clean!B10:G109,6,FALSE),"Channel not Found")</f>
        <v>Online</v>
      </c>
      <c r="F14" s="14" t="str">
        <f>IFERROR(VLOOKUP(B14,Data_Set_Clean!B10:F109,5,FALSE),"Product ID not Found")</f>
        <v>SUPA-1000</v>
      </c>
      <c r="G14" s="13">
        <f>IFERROR(VLOOKUP(B14,Data_Set_Clean!B10:I109,8,FALSE),0)</f>
        <v>204</v>
      </c>
      <c r="H14" s="39">
        <f>IFERROR(VLOOKUP(B14,Data_Set_Clean!B10:M109,11,FALSE),0)</f>
        <v>6.99</v>
      </c>
      <c r="I14" s="13">
        <f>IFERROR(VLOOKUP(B14,Data_Set_Clean!B10:M109,9,FALSE),"Size not Found")</f>
        <v>1000</v>
      </c>
      <c r="J14" s="13" t="str">
        <f>IFERROR(VLOOKUP(B14,Data_Set_Clean!B10:M109,10,FALSE),"Units not Found")</f>
        <v>ml</v>
      </c>
      <c r="K14" s="39">
        <f>IFERROR(VLOOKUP(B2:B14,Data_Set_Clean!B10:M109,12,FALSE),0)</f>
        <v>1425.96</v>
      </c>
    </row>
    <row r="15" spans="1:12">
      <c r="B15" s="8">
        <v>23332</v>
      </c>
      <c r="C15" s="13" t="str">
        <f>IFERROR(VLOOKUP(B15,Data_Set_Clean!B11:D110,3,FALSE),"Name not Found")</f>
        <v>Carter</v>
      </c>
      <c r="D15" s="13" t="str">
        <f>IFERROR(VLOOKUP(B15,Data_Set_Clean!B11:E110,4,FALSE),"Country not Found")</f>
        <v>Malaysia</v>
      </c>
      <c r="E15" s="13" t="str">
        <f>IFERROR(VLOOKUP(B15,Data_Set_Clean!B11:G110,6,FALSE),"Channel not Found")</f>
        <v>Direct</v>
      </c>
      <c r="F15" s="14" t="str">
        <f>IFERROR(VLOOKUP(B15,Data_Set_Clean!B11:F110,5,FALSE),"Product ID not Found")</f>
        <v>PURA-250</v>
      </c>
      <c r="G15" s="13">
        <f>IFERROR(VLOOKUP(B15,Data_Set_Clean!B11:I110,8,FALSE),0)</f>
        <v>4.5</v>
      </c>
      <c r="H15" s="39">
        <f>IFERROR(VLOOKUP(B15,Data_Set_Clean!B11:M110,11,FALSE),0)</f>
        <v>4.5</v>
      </c>
      <c r="I15" s="13">
        <f>IFERROR(VLOOKUP(B15,Data_Set_Clean!B11:M110,9,FALSE),"Size not Found")</f>
        <v>250</v>
      </c>
      <c r="J15" s="13" t="str">
        <f>IFERROR(VLOOKUP(B15,Data_Set_Clean!B11:M110,10,FALSE),"Units not Found")</f>
        <v>ml</v>
      </c>
      <c r="K15" s="39">
        <f>IFERROR(VLOOKUP(B3:B15,Data_Set_Clean!B11:M110,12,FALSE),0)</f>
        <v>20.25</v>
      </c>
    </row>
    <row r="16" spans="1:12">
      <c r="B16" s="8">
        <v>23329</v>
      </c>
      <c r="C16" s="13" t="str">
        <f>IFERROR(VLOOKUP(B16,Data_Set_Clean!B12:D111,3,FALSE),"Name not Found")</f>
        <v>Cobb</v>
      </c>
      <c r="D16" s="13" t="str">
        <f>IFERROR(VLOOKUP(B16,Data_Set_Clean!B12:E111,4,FALSE),"Country not Found")</f>
        <v>Uruguay</v>
      </c>
      <c r="E16" s="13" t="str">
        <f>IFERROR(VLOOKUP(B16,Data_Set_Clean!B12:G111,6,FALSE),"Channel not Found")</f>
        <v>Retail</v>
      </c>
      <c r="F16" s="14" t="str">
        <f>IFERROR(VLOOKUP(B16,Data_Set_Clean!B12:F111,5,FALSE),"Product ID not Found")</f>
        <v>PURA-250</v>
      </c>
      <c r="G16" s="13">
        <f>IFERROR(VLOOKUP(B16,Data_Set_Clean!B12:I111,8,FALSE),0)</f>
        <v>203</v>
      </c>
      <c r="H16" s="39">
        <f>IFERROR(VLOOKUP(B16,Data_Set_Clean!B12:M111,11,FALSE),0)</f>
        <v>4.5</v>
      </c>
      <c r="I16" s="13">
        <f>IFERROR(VLOOKUP(B16,Data_Set_Clean!B12:M111,9,FALSE),"Size not Found")</f>
        <v>250</v>
      </c>
      <c r="J16" s="13" t="str">
        <f>IFERROR(VLOOKUP(B16,Data_Set_Clean!B12:M111,10,FALSE),"Units not Found")</f>
        <v>ml</v>
      </c>
      <c r="K16" s="39">
        <f>IFERROR(VLOOKUP(B4:B16,Data_Set_Clean!B12:M111,12,FALSE),0)</f>
        <v>913.5</v>
      </c>
    </row>
    <row r="17" spans="2:11">
      <c r="B17" s="8">
        <v>33301</v>
      </c>
      <c r="C17" s="13" t="str">
        <f>IFERROR(VLOOKUP(B17,Data_Set_Clean!B13:D112,3,FALSE),"Name not Found")</f>
        <v>Name not Found</v>
      </c>
      <c r="D17" s="13" t="str">
        <f>IFERROR(VLOOKUP(B17,Data_Set_Clean!B13:E112,4,FALSE),"Country not Found")</f>
        <v>Country not Found</v>
      </c>
      <c r="E17" s="13" t="str">
        <f>IFERROR(VLOOKUP(B17,Data_Set_Clean!B13:G112,6,FALSE),"Channel not Found")</f>
        <v>Channel not Found</v>
      </c>
      <c r="F17" s="14" t="str">
        <f>IFERROR(VLOOKUP(B17,Data_Set_Clean!B13:F112,5,FALSE),"Product ID not Found")</f>
        <v>Product ID not Found</v>
      </c>
      <c r="G17" s="13">
        <f>IFERROR(VLOOKUP(B17,Data_Set_Clean!B13:I112,8,FALSE),0)</f>
        <v>0</v>
      </c>
      <c r="H17" s="39">
        <f>IFERROR(VLOOKUP(B17,Data_Set_Clean!B13:M112,11,FALSE),0)</f>
        <v>0</v>
      </c>
      <c r="I17" s="13" t="str">
        <f>IFERROR(VLOOKUP(B17,Data_Set_Clean!B13:M112,9,FALSE),"Size not Found")</f>
        <v>Size not Found</v>
      </c>
      <c r="J17" s="13" t="str">
        <f>IFERROR(VLOOKUP(B17,Data_Set_Clean!B13:M112,10,FALSE),"Units not Found")</f>
        <v>Units not Found</v>
      </c>
      <c r="K17" s="39">
        <f>IFERROR(VLOOKUP(B5:B17,Data_Set_Clean!B13:M112,12,FALSE),0)</f>
        <v>0</v>
      </c>
    </row>
    <row r="18" spans="2:11">
      <c r="B18" s="8">
        <v>23291</v>
      </c>
      <c r="C18" s="13" t="str">
        <f>IFERROR(VLOOKUP(B18,Data_Set_Clean!B14:D113,3,FALSE),"Name not Found")</f>
        <v>Odonnell</v>
      </c>
      <c r="D18" s="13" t="str">
        <f>IFERROR(VLOOKUP(B18,Data_Set_Clean!B14:E113,4,FALSE),"Country not Found")</f>
        <v>Albania</v>
      </c>
      <c r="E18" s="13" t="str">
        <f>IFERROR(VLOOKUP(B18,Data_Set_Clean!B14:G113,6,FALSE),"Channel not Found")</f>
        <v>Retail</v>
      </c>
      <c r="F18" s="14" t="str">
        <f>IFERROR(VLOOKUP(B18,Data_Set_Clean!B14:F113,5,FALSE),"Product ID not Found")</f>
        <v>DETA-800</v>
      </c>
      <c r="G18" s="13">
        <f>IFERROR(VLOOKUP(B18,Data_Set_Clean!B14:I113,8,FALSE),0)</f>
        <v>199</v>
      </c>
      <c r="H18" s="39">
        <f>IFERROR(VLOOKUP(B18,Data_Set_Clean!B14:M113,11,FALSE),0)</f>
        <v>9</v>
      </c>
      <c r="I18" s="13">
        <f>IFERROR(VLOOKUP(B18,Data_Set_Clean!B14:M113,9,FALSE),"Size not Found")</f>
        <v>800</v>
      </c>
      <c r="J18" s="13" t="str">
        <f>IFERROR(VLOOKUP(B18,Data_Set_Clean!B14:M113,10,FALSE),"Units not Found")</f>
        <v>ml</v>
      </c>
      <c r="K18" s="39">
        <f>IFERROR(VLOOKUP(B6:B18,Data_Set_Clean!B14:M113,12,FALSE),0)</f>
        <v>1791</v>
      </c>
    </row>
    <row r="19" spans="2:11">
      <c r="B19" s="8">
        <v>23317</v>
      </c>
      <c r="C19" s="13" t="str">
        <f>IFERROR(VLOOKUP(B19,Data_Set_Clean!B15:D114,3,FALSE),"Name not Found")</f>
        <v>Buckley</v>
      </c>
      <c r="D19" s="13" t="str">
        <f>IFERROR(VLOOKUP(B19,Data_Set_Clean!B15:E114,4,FALSE),"Country not Found")</f>
        <v>Malta</v>
      </c>
      <c r="E19" s="13" t="str">
        <f>IFERROR(VLOOKUP(B19,Data_Set_Clean!B15:G114,6,FALSE),"Channel not Found")</f>
        <v>Direct</v>
      </c>
      <c r="F19" s="14" t="str">
        <f>IFERROR(VLOOKUP(B19,Data_Set_Clean!B15:F114,5,FALSE),"Product ID not Found")</f>
        <v>DETA-100</v>
      </c>
      <c r="G19" s="13">
        <f>IFERROR(VLOOKUP(B19,Data_Set_Clean!B15:I114,8,FALSE),0)</f>
        <v>196</v>
      </c>
      <c r="H19" s="39">
        <f>IFERROR(VLOOKUP(B19,Data_Set_Clean!B15:M114,11,FALSE),0)</f>
        <v>4.5</v>
      </c>
      <c r="I19" s="13">
        <f>IFERROR(VLOOKUP(B19,Data_Set_Clean!B15:M114,9,FALSE),"Size not Found")</f>
        <v>100</v>
      </c>
      <c r="J19" s="13" t="str">
        <f>IFERROR(VLOOKUP(B19,Data_Set_Clean!B15:M114,10,FALSE),"Units not Found")</f>
        <v>ml</v>
      </c>
      <c r="K19" s="39">
        <f>IFERROR(VLOOKUP(B7:B19,Data_Set_Clean!B15:M114,12,FALSE),0)</f>
        <v>882</v>
      </c>
    </row>
    <row r="20" spans="2:11">
      <c r="B20" s="8">
        <v>23324</v>
      </c>
      <c r="C20" s="13" t="str">
        <f>IFERROR(VLOOKUP(B20,Data_Set_Clean!B16:D115,3,FALSE),"Name not Found")</f>
        <v>Warner</v>
      </c>
      <c r="D20" s="13" t="str">
        <f>IFERROR(VLOOKUP(B20,Data_Set_Clean!B16:E115,4,FALSE),"Country not Found")</f>
        <v>Burkina Faso</v>
      </c>
      <c r="E20" s="13" t="str">
        <f>IFERROR(VLOOKUP(B20,Data_Set_Clean!B16:G115,6,FALSE),"Channel not Found")</f>
        <v>Retail</v>
      </c>
      <c r="F20" s="14" t="str">
        <f>IFERROR(VLOOKUP(B20,Data_Set_Clean!B16:F115,5,FALSE),"Product ID not Found")</f>
        <v>PURA-500</v>
      </c>
      <c r="G20" s="13">
        <f>IFERROR(VLOOKUP(B20,Data_Set_Clean!B16:I115,8,FALSE),0)</f>
        <v>193</v>
      </c>
      <c r="H20" s="39">
        <f>IFERROR(VLOOKUP(B20,Data_Set_Clean!B16:M115,11,FALSE),0)</f>
        <v>9.99</v>
      </c>
      <c r="I20" s="13">
        <f>IFERROR(VLOOKUP(B20,Data_Set_Clean!B16:M115,9,FALSE),"Size not Found")</f>
        <v>500</v>
      </c>
      <c r="J20" s="13" t="str">
        <f>IFERROR(VLOOKUP(B20,Data_Set_Clean!B16:M115,10,FALSE),"Units not Found")</f>
        <v>ml</v>
      </c>
      <c r="K20" s="39">
        <f>IFERROR(VLOOKUP(B8:B20,Data_Set_Clean!B16:M115,12,FALSE),0)</f>
        <v>1928.07</v>
      </c>
    </row>
    <row r="21" spans="2:11">
      <c r="B21" s="8">
        <v>33308</v>
      </c>
      <c r="C21" s="13" t="str">
        <f>IFERROR(VLOOKUP(B21,Data_Set_Clean!B17:D116,3,FALSE),"Name not Found")</f>
        <v>Name not Found</v>
      </c>
      <c r="D21" s="13" t="str">
        <f>IFERROR(VLOOKUP(B21,Data_Set_Clean!B17:E116,4,FALSE),"Country not Found")</f>
        <v>Country not Found</v>
      </c>
      <c r="E21" s="13" t="str">
        <f>IFERROR(VLOOKUP(B21,Data_Set_Clean!B17:G116,6,FALSE),"Channel not Found")</f>
        <v>Channel not Found</v>
      </c>
      <c r="F21" s="14" t="str">
        <f>IFERROR(VLOOKUP(B21,Data_Set_Clean!B17:F116,5,FALSE),"Product ID not Found")</f>
        <v>Product ID not Found</v>
      </c>
      <c r="G21" s="13">
        <f>IFERROR(VLOOKUP(B21,Data_Set_Clean!B17:I116,8,FALSE),0)</f>
        <v>0</v>
      </c>
      <c r="H21" s="39">
        <f>IFERROR(VLOOKUP(B21,Data_Set_Clean!B17:M116,11,FALSE),0)</f>
        <v>0</v>
      </c>
      <c r="I21" s="13" t="str">
        <f>IFERROR(VLOOKUP(B21,Data_Set_Clean!B17:M116,9,FALSE),"Size not Found")</f>
        <v>Size not Found</v>
      </c>
      <c r="J21" s="13" t="str">
        <f>IFERROR(VLOOKUP(B21,Data_Set_Clean!B17:M116,10,FALSE),"Units not Found")</f>
        <v>Units not Found</v>
      </c>
      <c r="K21" s="39">
        <f>IFERROR(VLOOKUP(B9:B21,Data_Set_Clean!B17:M116,12,FALSE),0)</f>
        <v>0</v>
      </c>
    </row>
    <row r="22" spans="2:11">
      <c r="B22" s="8">
        <v>23350</v>
      </c>
      <c r="C22" s="13" t="str">
        <f>IFERROR(VLOOKUP(B22,Data_Set_Clean!B18:D117,3,FALSE),"Name not Found")</f>
        <v>Acevedo</v>
      </c>
      <c r="D22" s="13" t="str">
        <f>IFERROR(VLOOKUP(B22,Data_Set_Clean!B18:E117,4,FALSE),"Country not Found")</f>
        <v>Burundi</v>
      </c>
      <c r="E22" s="13" t="str">
        <f>IFERROR(VLOOKUP(B22,Data_Set_Clean!B18:G117,6,FALSE),"Channel not Found")</f>
        <v>Online</v>
      </c>
      <c r="F22" s="14" t="str">
        <f>IFERROR(VLOOKUP(B22,Data_Set_Clean!B18:F117,5,FALSE),"Product ID not Found")</f>
        <v>SUPA-1000</v>
      </c>
      <c r="G22" s="13">
        <f>IFERROR(VLOOKUP(B22,Data_Set_Clean!B18:I117,8,FALSE),0)</f>
        <v>188</v>
      </c>
      <c r="H22" s="39">
        <f>IFERROR(VLOOKUP(B22,Data_Set_Clean!B18:M117,11,FALSE),0)</f>
        <v>9</v>
      </c>
      <c r="I22" s="13">
        <f>IFERROR(VLOOKUP(B22,Data_Set_Clean!B18:M117,9,FALSE),"Size not Found")</f>
        <v>1000</v>
      </c>
      <c r="J22" s="13" t="str">
        <f>IFERROR(VLOOKUP(B22,Data_Set_Clean!B18:M117,10,FALSE),"Units not Found")</f>
        <v>ml</v>
      </c>
      <c r="K22" s="39">
        <f>IFERROR(VLOOKUP(B10:B22,Data_Set_Clean!B18:M117,12,FALSE),0)</f>
        <v>1692</v>
      </c>
    </row>
    <row r="23" spans="2:11">
      <c r="B23" s="8">
        <v>23325</v>
      </c>
      <c r="C23" s="13" t="str">
        <f>IFERROR(VLOOKUP(B23,Data_Set_Clean!B19:D118,3,FALSE),"Name not Found")</f>
        <v>Name not Found</v>
      </c>
      <c r="D23" s="13" t="str">
        <f>IFERROR(VLOOKUP(B23,Data_Set_Clean!B19:E118,4,FALSE),"Country not Found")</f>
        <v>Country not Found</v>
      </c>
      <c r="E23" s="13" t="str">
        <f>IFERROR(VLOOKUP(B23,Data_Set_Clean!B19:G118,6,FALSE),"Channel not Found")</f>
        <v>Channel not Found</v>
      </c>
      <c r="F23" s="14" t="str">
        <f>IFERROR(VLOOKUP(B23,Data_Set_Clean!B19:F118,5,FALSE),"Product ID not Found")</f>
        <v>Product ID not Found</v>
      </c>
      <c r="G23" s="13">
        <f>IFERROR(VLOOKUP(B23,Data_Set_Clean!B19:I118,8,FALSE),0)</f>
        <v>0</v>
      </c>
      <c r="H23" s="39">
        <f>IFERROR(VLOOKUP(B23,Data_Set_Clean!B19:M118,11,FALSE),0)</f>
        <v>0</v>
      </c>
      <c r="I23" s="13" t="str">
        <f>IFERROR(VLOOKUP(B23,Data_Set_Clean!B19:M118,9,FALSE),"Size not Found")</f>
        <v>Size not Found</v>
      </c>
      <c r="J23" s="13" t="str">
        <f>IFERROR(VLOOKUP(B23,Data_Set_Clean!B19:M118,10,FALSE),"Units not Found")</f>
        <v>Units not Found</v>
      </c>
      <c r="K23" s="39">
        <f>IFERROR(VLOOKUP(B11:B23,Data_Set_Clean!B19:M118,12,FALSE),0)</f>
        <v>0</v>
      </c>
    </row>
    <row r="24" spans="2:11">
      <c r="B24" s="8">
        <v>23361</v>
      </c>
      <c r="C24" s="13" t="str">
        <f>IFERROR(VLOOKUP(B24,Data_Set_Clean!B20:D119,3,FALSE),"Name not Found")</f>
        <v>Byrd</v>
      </c>
      <c r="D24" s="13" t="str">
        <f>IFERROR(VLOOKUP(B24,Data_Set_Clean!B20:E119,4,FALSE),"Country not Found")</f>
        <v>Mauritania</v>
      </c>
      <c r="E24" s="13" t="str">
        <f>IFERROR(VLOOKUP(B24,Data_Set_Clean!B20:G119,6,FALSE),"Channel not Found")</f>
        <v>Online</v>
      </c>
      <c r="F24" s="14" t="str">
        <f>IFERROR(VLOOKUP(B24,Data_Set_Clean!B20:F119,5,FALSE),"Product ID not Found")</f>
        <v>PURA-100</v>
      </c>
      <c r="G24" s="13">
        <f>IFERROR(VLOOKUP(B24,Data_Set_Clean!B20:I119,8,FALSE),0)</f>
        <v>184</v>
      </c>
      <c r="H24" s="39">
        <f>IFERROR(VLOOKUP(B24,Data_Set_Clean!B20:M119,11,FALSE),0)</f>
        <v>6.99</v>
      </c>
      <c r="I24" s="13">
        <f>IFERROR(VLOOKUP(B24,Data_Set_Clean!B20:M119,9,FALSE),"Size not Found")</f>
        <v>100</v>
      </c>
      <c r="J24" s="13" t="str">
        <f>IFERROR(VLOOKUP(B24,Data_Set_Clean!B20:M119,10,FALSE),"Units not Found")</f>
        <v>ml</v>
      </c>
      <c r="K24" s="39">
        <f>IFERROR(VLOOKUP(B12:B24,Data_Set_Clean!B20:M119,12,FALSE),0)</f>
        <v>1286.1600000000001</v>
      </c>
    </row>
    <row r="25" spans="2:11">
      <c r="B25" s="8">
        <v>23362</v>
      </c>
      <c r="C25" s="13" t="str">
        <f>IFERROR(VLOOKUP(B25,Data_Set_Clean!B21:D120,3,FALSE),"Name not Found")</f>
        <v>Alvarado</v>
      </c>
      <c r="D25" s="13" t="str">
        <f>IFERROR(VLOOKUP(B25,Data_Set_Clean!B21:E120,4,FALSE),"Country not Found")</f>
        <v>Korea, Republic of</v>
      </c>
      <c r="E25" s="13" t="str">
        <f>IFERROR(VLOOKUP(B25,Data_Set_Clean!B21:G120,6,FALSE),"Channel not Found")</f>
        <v>Online</v>
      </c>
      <c r="F25" s="14" t="str">
        <f>IFERROR(VLOOKUP(B25,Data_Set_Clean!B21:F120,5,FALSE),"Product ID not Found")</f>
        <v>PURA-500</v>
      </c>
      <c r="G25" s="13">
        <f>IFERROR(VLOOKUP(B25,Data_Set_Clean!B21:I120,8,FALSE),0)</f>
        <v>179</v>
      </c>
      <c r="H25" s="39">
        <f>IFERROR(VLOOKUP(B25,Data_Set_Clean!B21:M120,11,FALSE),0)</f>
        <v>3</v>
      </c>
      <c r="I25" s="13">
        <f>IFERROR(VLOOKUP(B25,Data_Set_Clean!B21:M120,9,FALSE),"Size not Found")</f>
        <v>500</v>
      </c>
      <c r="J25" s="13" t="str">
        <f>IFERROR(VLOOKUP(B25,Data_Set_Clean!B21:M120,10,FALSE),"Units not Found")</f>
        <v>ml</v>
      </c>
      <c r="K25" s="39">
        <f>IFERROR(VLOOKUP(B13:B25,Data_Set_Clean!B21:M120,12,FALSE),0)</f>
        <v>537</v>
      </c>
    </row>
    <row r="26" spans="2:11">
      <c r="B26" s="8">
        <v>23338</v>
      </c>
      <c r="C26" s="13" t="str">
        <f>IFERROR(VLOOKUP(B26,Data_Set_Clean!B22:D121,3,FALSE),"Name not Found")</f>
        <v>Best</v>
      </c>
      <c r="D26" s="13" t="str">
        <f>IFERROR(VLOOKUP(B26,Data_Set_Clean!B22:E121,4,FALSE),"Country not Found")</f>
        <v>Western Sahara</v>
      </c>
      <c r="E26" s="13" t="str">
        <f>IFERROR(VLOOKUP(B26,Data_Set_Clean!B22:G121,6,FALSE),"Channel not Found")</f>
        <v>Retail</v>
      </c>
      <c r="F26" s="14" t="str">
        <f>IFERROR(VLOOKUP(B26,Data_Set_Clean!B22:F121,5,FALSE),"Product ID not Found")</f>
        <v>PURA-250</v>
      </c>
      <c r="G26" s="13">
        <f>IFERROR(VLOOKUP(B26,Data_Set_Clean!B22:I121,8,FALSE),0)</f>
        <v>178</v>
      </c>
      <c r="H26" s="39">
        <f>IFERROR(VLOOKUP(B26,Data_Set_Clean!B22:M121,11,FALSE),0)</f>
        <v>4.5</v>
      </c>
      <c r="I26" s="13">
        <f>IFERROR(VLOOKUP(B26,Data_Set_Clean!B22:M121,9,FALSE),"Size not Found")</f>
        <v>250</v>
      </c>
      <c r="J26" s="13" t="str">
        <f>IFERROR(VLOOKUP(B26,Data_Set_Clean!B22:M121,10,FALSE),"Units not Found")</f>
        <v>ml</v>
      </c>
      <c r="K26" s="39">
        <f>IFERROR(VLOOKUP(B14:B26,Data_Set_Clean!B22:M121,12,FALSE),0)</f>
        <v>801</v>
      </c>
    </row>
    <row r="27" spans="2:11">
      <c r="B27" s="8">
        <v>50021</v>
      </c>
      <c r="C27" s="13" t="str">
        <f>IFERROR(VLOOKUP(B27,Data_Set_Clean!B23:D122,3,FALSE),"Name not Found")</f>
        <v>Name not Found</v>
      </c>
      <c r="D27" s="13" t="str">
        <f>IFERROR(VLOOKUP(B27,Data_Set_Clean!B23:E122,4,FALSE),"Country not Found")</f>
        <v>Country not Found</v>
      </c>
      <c r="E27" s="13" t="str">
        <f>IFERROR(VLOOKUP(B27,Data_Set_Clean!B23:G122,6,FALSE),"Channel not Found")</f>
        <v>Channel not Found</v>
      </c>
      <c r="F27" s="14" t="str">
        <f>IFERROR(VLOOKUP(B27,Data_Set_Clean!B23:F122,5,FALSE),"Product ID not Found")</f>
        <v>Product ID not Found</v>
      </c>
      <c r="G27" s="13">
        <f>IFERROR(VLOOKUP(B27,Data_Set_Clean!B23:I122,8,FALSE),0)</f>
        <v>0</v>
      </c>
      <c r="H27" s="39">
        <f>IFERROR(VLOOKUP(B27,Data_Set_Clean!B23:M122,11,FALSE),0)</f>
        <v>0</v>
      </c>
      <c r="I27" s="13" t="str">
        <f>IFERROR(VLOOKUP(B27,Data_Set_Clean!B23:M122,9,FALSE),"Size not Found")</f>
        <v>Size not Found</v>
      </c>
      <c r="J27" s="13" t="str">
        <f>IFERROR(VLOOKUP(B27,Data_Set_Clean!B23:M122,10,FALSE),"Units not Found")</f>
        <v>Units not Found</v>
      </c>
      <c r="K27" s="39">
        <f>IFERROR(VLOOKUP(B15:B27,Data_Set_Clean!B23:M122,12,FALSE),0)</f>
        <v>0</v>
      </c>
    </row>
    <row r="28" spans="2:11">
      <c r="B28" s="8">
        <v>23303</v>
      </c>
      <c r="C28" s="13" t="str">
        <f>IFERROR(VLOOKUP(B28,Data_Set_Clean!B24:D123,3,FALSE),"Name not Found")</f>
        <v>Key</v>
      </c>
      <c r="D28" s="13" t="str">
        <f>IFERROR(VLOOKUP(B28,Data_Set_Clean!B24:E123,4,FALSE),"Country not Found")</f>
        <v>Colombia</v>
      </c>
      <c r="E28" s="13" t="str">
        <f>IFERROR(VLOOKUP(B28,Data_Set_Clean!B24:G123,6,FALSE),"Channel not Found")</f>
        <v>Retail</v>
      </c>
      <c r="F28" s="14" t="str">
        <f>IFERROR(VLOOKUP(B28,Data_Set_Clean!B24:F123,5,FALSE),"Product ID not Found")</f>
        <v>DETA-800</v>
      </c>
      <c r="G28" s="13">
        <f>IFERROR(VLOOKUP(B28,Data_Set_Clean!B24:I123,8,FALSE),0)</f>
        <v>176</v>
      </c>
      <c r="H28" s="39">
        <f>IFERROR(VLOOKUP(B28,Data_Set_Clean!B24:M123,11,FALSE),0)</f>
        <v>14.5</v>
      </c>
      <c r="I28" s="13">
        <f>IFERROR(VLOOKUP(B28,Data_Set_Clean!B24:M123,9,FALSE),"Size not Found")</f>
        <v>800</v>
      </c>
      <c r="J28" s="13" t="str">
        <f>IFERROR(VLOOKUP(B28,Data_Set_Clean!B24:M123,10,FALSE),"Units not Found")</f>
        <v>ml</v>
      </c>
      <c r="K28" s="39">
        <f>IFERROR(VLOOKUP(B16:B28,Data_Set_Clean!B24:M123,12,FALSE),0)</f>
        <v>2552</v>
      </c>
    </row>
    <row r="29" spans="2:11" ht="12.75" thickBot="1">
      <c r="B29" s="9">
        <v>32667</v>
      </c>
      <c r="C29" s="13" t="str">
        <f>IFERROR(VLOOKUP(B29,Data_Set_Clean!B25:D124,3,FALSE),"Name not Found")</f>
        <v>Name not Found</v>
      </c>
      <c r="D29" s="13" t="str">
        <f>IFERROR(VLOOKUP(B29,Data_Set_Clean!B25:E124,4,FALSE),"Country not Found")</f>
        <v>Country not Found</v>
      </c>
      <c r="E29" s="13" t="str">
        <f>IFERROR(VLOOKUP(B29,Data_Set_Clean!B25:G124,6,FALSE),"Channel not Found")</f>
        <v>Channel not Found</v>
      </c>
      <c r="F29" s="14" t="str">
        <f>IFERROR(VLOOKUP(B29,Data_Set_Clean!B25:F124,5,FALSE),"Product ID not Found")</f>
        <v>Product ID not Found</v>
      </c>
      <c r="G29" s="13">
        <f>IFERROR(VLOOKUP(B29,Data_Set_Clean!B25:I124,8,FALSE),0)</f>
        <v>0</v>
      </c>
      <c r="H29" s="39">
        <f>IFERROR(VLOOKUP(B29,Data_Set_Clean!B25:M124,11,FALSE),0)</f>
        <v>0</v>
      </c>
      <c r="I29" s="13" t="str">
        <f>IFERROR(VLOOKUP(B29,Data_Set_Clean!B25:M124,9,FALSE),"Size not Found")</f>
        <v>Size not Found</v>
      </c>
      <c r="J29" s="13" t="str">
        <f>IFERROR(VLOOKUP(B29,Data_Set_Clean!B25:M124,10,FALSE),"Units not Found")</f>
        <v>Units not Found</v>
      </c>
      <c r="K29" s="39">
        <f>IFERROR(VLOOKUP(B17:B29,Data_Set_Clean!B25:M124,12,FALSE),0)</f>
        <v>0</v>
      </c>
    </row>
    <row r="33" spans="1:3" ht="12.75" thickBot="1"/>
    <row r="34" spans="1:3" ht="12.75" thickTop="1">
      <c r="B34" s="19" t="s">
        <v>12</v>
      </c>
      <c r="C34" s="20">
        <f>SUM(G13:G29)</f>
        <v>2109.5</v>
      </c>
    </row>
    <row r="35" spans="1:3" ht="12.75" thickBot="1">
      <c r="B35" s="21" t="s">
        <v>13</v>
      </c>
      <c r="C35" s="40">
        <f>SUM(K13:K29)</f>
        <v>15673.94</v>
      </c>
    </row>
    <row r="36" spans="1:3" ht="12.75" thickTop="1">
      <c r="A36"/>
      <c r="B36"/>
      <c r="C36"/>
    </row>
    <row r="39" spans="1:3">
      <c r="B39" s="23"/>
    </row>
    <row r="41" spans="1:3">
      <c r="B41" s="35"/>
    </row>
    <row r="42" spans="1:3">
      <c r="B42" s="35"/>
    </row>
    <row r="43" spans="1:3">
      <c r="B43" s="35"/>
    </row>
    <row r="45" spans="1:3">
      <c r="B45" s="35"/>
    </row>
    <row r="46" spans="1:3">
      <c r="B46" s="35"/>
    </row>
    <row r="47" spans="1:3">
      <c r="B47" s="35"/>
    </row>
    <row r="48" spans="1:3">
      <c r="B48" s="35"/>
    </row>
    <row r="50" spans="2:2">
      <c r="B50" s="35"/>
    </row>
    <row r="52" spans="2:2">
      <c r="B52" s="35"/>
    </row>
    <row r="53" spans="2:2">
      <c r="B53" s="35"/>
    </row>
  </sheetData>
  <mergeCells count="2">
    <mergeCell ref="B8:L8"/>
    <mergeCell ref="B10:L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sent_to_answer_1">
                <anchor moveWithCells="1" sizeWithCells="1">
                  <from>
                    <xdr:col>3</xdr:col>
                    <xdr:colOff>657225</xdr:colOff>
                    <xdr:row>30</xdr:row>
                    <xdr:rowOff>85725</xdr:rowOff>
                  </from>
                  <to>
                    <xdr:col>5</xdr:col>
                    <xdr:colOff>723900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25"/>
  <sheetViews>
    <sheetView showGridLines="0" topLeftCell="A4" workbookViewId="0">
      <selection activeCell="F9" sqref="F9"/>
    </sheetView>
  </sheetViews>
  <sheetFormatPr defaultColWidth="9" defaultRowHeight="12"/>
  <cols>
    <col min="1" max="2" width="9" style="5"/>
    <col min="3" max="3" width="19.85546875" style="5" bestFit="1" customWidth="1"/>
    <col min="4" max="4" width="28.140625" style="5" bestFit="1" customWidth="1"/>
    <col min="5" max="5" width="21.85546875" style="5" bestFit="1" customWidth="1"/>
    <col min="6" max="6" width="19.85546875" style="5" customWidth="1"/>
    <col min="7" max="7" width="18" style="5" bestFit="1" customWidth="1"/>
    <col min="8" max="8" width="14.7109375" style="5" customWidth="1"/>
    <col min="9" max="9" width="9" style="5"/>
    <col min="10" max="10" width="17.7109375" style="5" customWidth="1"/>
    <col min="11" max="16384" width="9" style="5"/>
  </cols>
  <sheetData>
    <row r="1" spans="1:10" ht="12.75">
      <c r="A1" s="4" t="str">
        <f>'Cover Page'!A1</f>
        <v>Problem Solving With Excel</v>
      </c>
    </row>
    <row r="2" spans="1:10" ht="12.75">
      <c r="A2" s="4" t="str">
        <f>'Cover Page'!A2</f>
        <v>Week 2</v>
      </c>
    </row>
    <row r="3" spans="1:10" ht="12.75">
      <c r="A3" s="4" t="s">
        <v>228</v>
      </c>
    </row>
    <row r="6" spans="1:10" ht="12.75" thickBot="1">
      <c r="C6" s="23" t="s">
        <v>6</v>
      </c>
    </row>
    <row r="7" spans="1:10" ht="15.75">
      <c r="C7" s="7" t="s">
        <v>229</v>
      </c>
      <c r="D7" s="25" t="s">
        <v>6</v>
      </c>
    </row>
    <row r="8" spans="1:10">
      <c r="C8" s="26" t="s">
        <v>22</v>
      </c>
      <c r="D8" s="15" t="s">
        <v>39</v>
      </c>
    </row>
    <row r="9" spans="1:10">
      <c r="C9" s="26" t="s">
        <v>35</v>
      </c>
      <c r="D9" s="15" t="s">
        <v>63</v>
      </c>
    </row>
    <row r="10" spans="1:10" ht="12.75" thickBot="1">
      <c r="C10" s="27" t="s">
        <v>58</v>
      </c>
      <c r="D10" s="18" t="s">
        <v>151</v>
      </c>
    </row>
    <row r="13" spans="1:10" ht="12.75" thickBot="1">
      <c r="C13" s="23" t="s">
        <v>230</v>
      </c>
      <c r="E13" s="5" t="s">
        <v>292</v>
      </c>
    </row>
    <row r="14" spans="1:10" ht="15.75">
      <c r="C14" s="28" t="s">
        <v>224</v>
      </c>
      <c r="D14" s="10" t="s">
        <v>225</v>
      </c>
      <c r="E14" s="10" t="s">
        <v>226</v>
      </c>
      <c r="F14" s="10" t="s">
        <v>270</v>
      </c>
      <c r="G14" s="10" t="s">
        <v>271</v>
      </c>
      <c r="H14" s="10" t="s">
        <v>269</v>
      </c>
      <c r="I14" s="10" t="s">
        <v>9</v>
      </c>
      <c r="J14" s="29" t="s">
        <v>7</v>
      </c>
    </row>
    <row r="15" spans="1:10">
      <c r="C15" s="26" t="s">
        <v>30</v>
      </c>
      <c r="D15" s="14" t="s">
        <v>76</v>
      </c>
      <c r="E15" s="14" t="s">
        <v>291</v>
      </c>
      <c r="F15" s="14" t="str">
        <f t="shared" ref="F15" si="0">RIGHT(D15,LEN(D15)-2-LEN(E15))</f>
        <v xml:space="preserve"> 100ml</v>
      </c>
      <c r="G15" s="14">
        <f>VALUE(LEFT(F15,LEN(F15)-2))</f>
        <v>100</v>
      </c>
      <c r="H15" s="14" t="str">
        <f>RIGHT(F15,2)</f>
        <v>ml</v>
      </c>
      <c r="I15" s="14">
        <v>3</v>
      </c>
      <c r="J15" s="15" t="s">
        <v>30</v>
      </c>
    </row>
    <row r="16" spans="1:10">
      <c r="C16" s="26" t="s">
        <v>21</v>
      </c>
      <c r="D16" s="14" t="s">
        <v>26</v>
      </c>
      <c r="E16" s="14" t="str">
        <f>LEFT(D16,FIND(" -",D16))</f>
        <v xml:space="preserve">Pure Soft Detergent </v>
      </c>
      <c r="F16" s="14" t="str">
        <f>RIGHT(D16,LEN(D16)-LEN(E16)-1)</f>
        <v xml:space="preserve"> 200ml</v>
      </c>
      <c r="G16" s="14">
        <f t="shared" ref="G16:G25" si="1">VALUE(LEFT(F16,LEN(F16)-2))</f>
        <v>200</v>
      </c>
      <c r="H16" s="14" t="str">
        <f t="shared" ref="H16:H25" si="2">RIGHT(F16,2)</f>
        <v>ml</v>
      </c>
      <c r="I16" s="14">
        <v>3.99</v>
      </c>
      <c r="J16" s="15" t="s">
        <v>21</v>
      </c>
    </row>
    <row r="17" spans="3:10">
      <c r="C17" s="26" t="s">
        <v>71</v>
      </c>
      <c r="D17" s="14" t="s">
        <v>67</v>
      </c>
      <c r="E17" s="14" t="str">
        <f>LEFT(D17,FIND(" -",D17))</f>
        <v xml:space="preserve">Pure Soft Detergent </v>
      </c>
      <c r="F17" s="14" t="str">
        <f t="shared" ref="F17:F25" si="3">RIGHT(D17,LEN(D17)-LEN(E17)-1)</f>
        <v xml:space="preserve"> 250ml</v>
      </c>
      <c r="G17" s="14">
        <f t="shared" si="1"/>
        <v>250</v>
      </c>
      <c r="H17" s="14" t="str">
        <f t="shared" si="2"/>
        <v>ml</v>
      </c>
      <c r="I17" s="14">
        <v>4.5</v>
      </c>
      <c r="J17" s="15" t="s">
        <v>71</v>
      </c>
    </row>
    <row r="18" spans="3:10">
      <c r="C18" s="26" t="s">
        <v>62</v>
      </c>
      <c r="D18" s="14" t="s">
        <v>110</v>
      </c>
      <c r="E18" s="14" t="str">
        <f t="shared" ref="E18:E25" si="4">LEFT(D18,FIND(" -",D18))</f>
        <v xml:space="preserve">Pure Soft Detergent </v>
      </c>
      <c r="F18" s="14" t="str">
        <f t="shared" si="3"/>
        <v xml:space="preserve"> 500ml</v>
      </c>
      <c r="G18" s="14">
        <f t="shared" si="1"/>
        <v>500</v>
      </c>
      <c r="H18" s="14" t="str">
        <f t="shared" si="2"/>
        <v>ml</v>
      </c>
      <c r="I18" s="14">
        <v>6.5</v>
      </c>
      <c r="J18" s="15" t="s">
        <v>62</v>
      </c>
    </row>
    <row r="19" spans="3:10">
      <c r="C19" s="26" t="s">
        <v>60</v>
      </c>
      <c r="D19" s="14" t="s">
        <v>85</v>
      </c>
      <c r="E19" s="14" t="str">
        <f t="shared" si="4"/>
        <v xml:space="preserve">Detafast Stain Remover </v>
      </c>
      <c r="F19" s="14" t="str">
        <f t="shared" si="3"/>
        <v xml:space="preserve"> 100ml</v>
      </c>
      <c r="G19" s="14">
        <f t="shared" si="1"/>
        <v>100</v>
      </c>
      <c r="H19" s="14" t="str">
        <f t="shared" si="2"/>
        <v>ml</v>
      </c>
      <c r="I19" s="14">
        <v>6</v>
      </c>
      <c r="J19" s="15" t="s">
        <v>60</v>
      </c>
    </row>
    <row r="20" spans="3:10">
      <c r="C20" s="26" t="s">
        <v>134</v>
      </c>
      <c r="D20" s="14" t="s">
        <v>41</v>
      </c>
      <c r="E20" s="14" t="str">
        <f t="shared" si="4"/>
        <v xml:space="preserve">Detafast Stain Remover </v>
      </c>
      <c r="F20" s="14" t="str">
        <f t="shared" si="3"/>
        <v xml:space="preserve"> 200ml</v>
      </c>
      <c r="G20" s="14">
        <f t="shared" si="1"/>
        <v>200</v>
      </c>
      <c r="H20" s="14" t="str">
        <f t="shared" si="2"/>
        <v>ml</v>
      </c>
      <c r="I20" s="14">
        <v>6.5</v>
      </c>
      <c r="J20" s="15" t="s">
        <v>134</v>
      </c>
    </row>
    <row r="21" spans="3:10">
      <c r="C21" s="26" t="s">
        <v>102</v>
      </c>
      <c r="D21" s="14" t="s">
        <v>82</v>
      </c>
      <c r="E21" s="14" t="str">
        <f t="shared" si="4"/>
        <v xml:space="preserve">Detafast Stain Remover </v>
      </c>
      <c r="F21" s="14" t="str">
        <f t="shared" si="3"/>
        <v xml:space="preserve"> 800ml</v>
      </c>
      <c r="G21" s="14">
        <f t="shared" si="1"/>
        <v>800</v>
      </c>
      <c r="H21" s="14" t="str">
        <f t="shared" si="2"/>
        <v>ml</v>
      </c>
      <c r="I21" s="14">
        <v>9</v>
      </c>
      <c r="J21" s="15" t="s">
        <v>102</v>
      </c>
    </row>
    <row r="22" spans="3:10">
      <c r="C22" s="26" t="s">
        <v>107</v>
      </c>
      <c r="D22" s="14" t="s">
        <v>119</v>
      </c>
      <c r="E22" s="14" t="str">
        <f t="shared" si="4"/>
        <v xml:space="preserve">Super Soft </v>
      </c>
      <c r="F22" s="14" t="str">
        <f t="shared" si="3"/>
        <v xml:space="preserve"> 250ml</v>
      </c>
      <c r="G22" s="14">
        <f t="shared" si="1"/>
        <v>250</v>
      </c>
      <c r="H22" s="14" t="str">
        <f t="shared" si="2"/>
        <v>ml</v>
      </c>
      <c r="I22" s="14">
        <v>4.5</v>
      </c>
      <c r="J22" s="15" t="s">
        <v>107</v>
      </c>
    </row>
    <row r="23" spans="3:10">
      <c r="C23" s="26" t="s">
        <v>34</v>
      </c>
      <c r="D23" s="14" t="s">
        <v>130</v>
      </c>
      <c r="E23" s="14" t="str">
        <f t="shared" si="4"/>
        <v xml:space="preserve">Super Soft </v>
      </c>
      <c r="F23" s="14" t="str">
        <f t="shared" si="3"/>
        <v xml:space="preserve"> 500ml</v>
      </c>
      <c r="G23" s="14">
        <f t="shared" si="1"/>
        <v>500</v>
      </c>
      <c r="H23" s="14" t="str">
        <f t="shared" si="2"/>
        <v>ml</v>
      </c>
      <c r="I23" s="14">
        <v>6.99</v>
      </c>
      <c r="J23" s="15" t="s">
        <v>34</v>
      </c>
    </row>
    <row r="24" spans="3:10">
      <c r="C24" s="26" t="s">
        <v>57</v>
      </c>
      <c r="D24" s="14" t="s">
        <v>50</v>
      </c>
      <c r="E24" s="14" t="str">
        <f t="shared" si="4"/>
        <v xml:space="preserve">Super Soft </v>
      </c>
      <c r="F24" s="14" t="str">
        <f t="shared" si="3"/>
        <v xml:space="preserve"> 1000ml</v>
      </c>
      <c r="G24" s="14">
        <f t="shared" si="1"/>
        <v>1000</v>
      </c>
      <c r="H24" s="14" t="str">
        <f t="shared" si="2"/>
        <v>ml</v>
      </c>
      <c r="I24" s="14">
        <v>9.99</v>
      </c>
      <c r="J24" s="15" t="s">
        <v>57</v>
      </c>
    </row>
    <row r="25" spans="3:10" ht="12.75" thickBot="1">
      <c r="C25" s="27" t="s">
        <v>46</v>
      </c>
      <c r="D25" s="17" t="s">
        <v>38</v>
      </c>
      <c r="E25" s="14" t="str">
        <f t="shared" si="4"/>
        <v xml:space="preserve">Super Soft Bulk </v>
      </c>
      <c r="F25" s="14" t="str">
        <f t="shared" si="3"/>
        <v xml:space="preserve"> 2000ml</v>
      </c>
      <c r="G25" s="14">
        <f t="shared" si="1"/>
        <v>2000</v>
      </c>
      <c r="H25" s="14" t="str">
        <f t="shared" si="2"/>
        <v>ml</v>
      </c>
      <c r="I25" s="17">
        <v>14.5</v>
      </c>
      <c r="J25" s="18" t="s">
        <v>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2">
                <anchor moveWithCells="1" sizeWithCells="1">
                  <from>
                    <xdr:col>4</xdr:col>
                    <xdr:colOff>1219200</xdr:colOff>
                    <xdr:row>6</xdr:row>
                    <xdr:rowOff>123825</xdr:rowOff>
                  </from>
                  <to>
                    <xdr:col>6</xdr:col>
                    <xdr:colOff>581025</xdr:colOff>
                    <xdr:row>9</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09"/>
  <sheetViews>
    <sheetView showGridLines="0" topLeftCell="B69" zoomScale="90" zoomScaleNormal="90" workbookViewId="0">
      <selection activeCell="M108" sqref="M108"/>
    </sheetView>
  </sheetViews>
  <sheetFormatPr defaultColWidth="9" defaultRowHeight="12"/>
  <cols>
    <col min="1" max="1" width="9" style="5"/>
    <col min="2" max="2" width="19.85546875" style="5" bestFit="1" customWidth="1"/>
    <col min="3" max="4" width="18.140625" style="5" customWidth="1"/>
    <col min="5" max="5" width="33.85546875" style="5" bestFit="1" customWidth="1"/>
    <col min="6" max="6" width="30.140625" style="5" customWidth="1"/>
    <col min="7" max="7" width="20.42578125" style="5" customWidth="1"/>
    <col min="8" max="8" width="15.42578125" style="5" bestFit="1" customWidth="1"/>
    <col min="9" max="9" width="13.140625" style="5" bestFit="1" customWidth="1"/>
    <col min="10" max="10" width="16.5703125" style="5" customWidth="1"/>
    <col min="11" max="11" width="17.5703125" style="5" customWidth="1"/>
    <col min="12" max="12" width="13.140625" style="5" customWidth="1"/>
    <col min="13" max="13" width="27.85546875" style="5" customWidth="1"/>
    <col min="14" max="14" width="2.5703125" style="5" customWidth="1"/>
    <col min="15" max="15" width="49" style="5" customWidth="1"/>
    <col min="16" max="16384" width="9" style="5"/>
  </cols>
  <sheetData>
    <row r="1" spans="1:13" ht="12.75">
      <c r="A1" s="4" t="str">
        <f>'Cover Page'!A1</f>
        <v>Problem Solving With Excel</v>
      </c>
    </row>
    <row r="2" spans="1:13" ht="12.75">
      <c r="A2" s="4" t="str">
        <f>'Cover Page'!A2</f>
        <v>Week 2</v>
      </c>
    </row>
    <row r="3" spans="1:13" ht="12.75">
      <c r="A3" s="4" t="s">
        <v>297</v>
      </c>
    </row>
    <row r="4" spans="1:13" ht="12.75">
      <c r="A4" s="4"/>
    </row>
    <row r="6" spans="1:13">
      <c r="B6" s="23"/>
    </row>
    <row r="7" spans="1:13" ht="12.75" thickBot="1">
      <c r="D7" s="5" t="s">
        <v>284</v>
      </c>
      <c r="F7" s="5" t="s">
        <v>285</v>
      </c>
      <c r="G7" s="5" t="s">
        <v>286</v>
      </c>
      <c r="I7" s="5" t="s">
        <v>287</v>
      </c>
      <c r="J7" s="5" t="s">
        <v>287</v>
      </c>
      <c r="K7" s="5" t="s">
        <v>287</v>
      </c>
      <c r="M7" s="5" t="s">
        <v>288</v>
      </c>
    </row>
    <row r="8" spans="1:13" ht="15.75">
      <c r="B8" s="7" t="s">
        <v>15</v>
      </c>
      <c r="C8" s="10" t="s">
        <v>216</v>
      </c>
      <c r="D8" s="10" t="s">
        <v>231</v>
      </c>
      <c r="E8" s="11" t="s">
        <v>5</v>
      </c>
      <c r="F8" s="11" t="s">
        <v>232</v>
      </c>
      <c r="G8" s="11" t="s">
        <v>233</v>
      </c>
      <c r="H8" s="11" t="s">
        <v>17</v>
      </c>
      <c r="I8" s="11" t="s">
        <v>18</v>
      </c>
      <c r="J8" s="11" t="s">
        <v>227</v>
      </c>
      <c r="K8" s="11" t="s">
        <v>269</v>
      </c>
      <c r="L8" s="38" t="s">
        <v>9</v>
      </c>
      <c r="M8" s="11" t="s">
        <v>10</v>
      </c>
    </row>
    <row r="9" spans="1:13">
      <c r="B9" s="8">
        <f>VALUE(Data_Set_Raw!B8)</f>
        <v>23320</v>
      </c>
      <c r="C9" s="13" t="str">
        <f>PROPER(Data_Set_Raw!C8)</f>
        <v>Lance Little</v>
      </c>
      <c r="D9" s="13" t="s">
        <v>299</v>
      </c>
      <c r="E9" s="14" t="str">
        <f>Data_Set_Raw!D8</f>
        <v>Croatia</v>
      </c>
      <c r="F9" s="14" t="str">
        <f>IFERROR(VLOOKUP(Data_Set_Raw!E8,Data_Lookup!$C$15:$J$25,1,FALSE),VLOOKUP(Data_Set_Raw!E8,Data_Lookup!$D$15:$J$25,7,FALSE))</f>
        <v>PURA-200</v>
      </c>
      <c r="G9" s="14" t="str">
        <f>IFERROR(VLOOKUP(Data_Set_Raw!$F8,Data_Lookup!$C$8:$D$10,2,FALSE),TRIM(Data_Set_Raw!F8))</f>
        <v>Direct</v>
      </c>
      <c r="H9" s="30">
        <f>Data_Set_Raw!G8</f>
        <v>42531</v>
      </c>
      <c r="I9" s="14">
        <f>VALUE(Data_Set_Raw!H8)</f>
        <v>125</v>
      </c>
      <c r="J9" s="14">
        <f>VLOOKUP(F9,Data_Lookup!$C$15:$H$25,5,FALSE)</f>
        <v>200</v>
      </c>
      <c r="K9" s="14" t="str">
        <f>VLOOKUP(F9,Data_Lookup!$C$15:$H$25,6,FALSE)</f>
        <v>ml</v>
      </c>
      <c r="L9" s="31">
        <f>Data_Set_Raw!I8</f>
        <v>6</v>
      </c>
      <c r="M9" s="31">
        <f>PRODUCT(I9,L9)</f>
        <v>750</v>
      </c>
    </row>
    <row r="10" spans="1:13">
      <c r="B10" s="8">
        <f>VALUE(Data_Set_Raw!B9)</f>
        <v>23325</v>
      </c>
      <c r="C10" s="13" t="str">
        <f>PROPER(Data_Set_Raw!C9)</f>
        <v>Isadora Mcclure</v>
      </c>
      <c r="D10" s="13" t="s">
        <v>300</v>
      </c>
      <c r="E10" s="14" t="str">
        <f>Data_Set_Raw!D9</f>
        <v>Indonesia</v>
      </c>
      <c r="F10" s="14" t="str">
        <f>IFERROR(VLOOKUP(Data_Set_Raw!E9,Data_Lookup!$C$15:$J$25,1,FALSE),VLOOKUP(Data_Set_Raw!E9,Data_Lookup!$D$15:$J$25,7,FALSE))</f>
        <v>PURA-200</v>
      </c>
      <c r="G10" s="14" t="str">
        <f>IFERROR(VLOOKUP(Data_Set_Raw!$F9,Data_Lookup!$C$8:$D$10,2,FALSE),TRIM(Data_Set_Raw!F9))</f>
        <v>Retail</v>
      </c>
      <c r="H10" s="30">
        <f>Data_Set_Raw!G9</f>
        <v>42563</v>
      </c>
      <c r="I10" s="14">
        <f>VALUE(Data_Set_Raw!H9)</f>
        <v>184</v>
      </c>
      <c r="J10" s="14">
        <f>VLOOKUP(F10,Data_Lookup!$C$15:$H$25,5,FALSE)</f>
        <v>200</v>
      </c>
      <c r="K10" s="14" t="str">
        <f>VLOOKUP(F10,Data_Lookup!$C$15:$H$25,6,FALSE)</f>
        <v>ml</v>
      </c>
      <c r="L10" s="31">
        <f>Data_Set_Raw!I9</f>
        <v>6</v>
      </c>
      <c r="M10" s="31">
        <f t="shared" ref="M10:M73" si="0">PRODUCT(I10,L10)</f>
        <v>1104</v>
      </c>
    </row>
    <row r="11" spans="1:13">
      <c r="B11" s="8">
        <f>VALUE(Data_Set_Raw!B10)</f>
        <v>23307</v>
      </c>
      <c r="C11" s="13" t="str">
        <f>PROPER(Data_Set_Raw!C10)</f>
        <v>Oprah Ellis</v>
      </c>
      <c r="D11" s="13" t="s">
        <v>301</v>
      </c>
      <c r="E11" s="14" t="str">
        <f>Data_Set_Raw!D10</f>
        <v>Dominican Republic</v>
      </c>
      <c r="F11" s="14" t="str">
        <f>IFERROR(VLOOKUP(Data_Set_Raw!E10,Data_Lookup!$C$15:$J$25,1,FALSE),VLOOKUP(Data_Set_Raw!E10,Data_Lookup!$D$15:$J$25,7,FALSE))</f>
        <v>PURA-100</v>
      </c>
      <c r="G11" s="14" t="str">
        <f>IFERROR(VLOOKUP(Data_Set_Raw!$F10,Data_Lookup!$C$8:$D$10,2,FALSE),TRIM(Data_Set_Raw!F10))</f>
        <v>Retail</v>
      </c>
      <c r="H11" s="30">
        <f>Data_Set_Raw!G10</f>
        <v>42565</v>
      </c>
      <c r="I11" s="14">
        <f>VALUE(Data_Set_Raw!H10)</f>
        <v>113</v>
      </c>
      <c r="J11" s="14">
        <f>VLOOKUP(F11,Data_Lookup!$C$15:$H$25,5,FALSE)</f>
        <v>100</v>
      </c>
      <c r="K11" s="14" t="str">
        <f>VLOOKUP(F11,Data_Lookup!$C$15:$H$25,6,FALSE)</f>
        <v>ml</v>
      </c>
      <c r="L11" s="31">
        <f>Data_Set_Raw!I10</f>
        <v>6</v>
      </c>
      <c r="M11" s="31">
        <f t="shared" si="0"/>
        <v>678</v>
      </c>
    </row>
    <row r="12" spans="1:13">
      <c r="B12" s="8">
        <f>VALUE(Data_Set_Raw!B11)</f>
        <v>23352</v>
      </c>
      <c r="C12" s="13" t="str">
        <f>PROPER(Data_Set_Raw!C11)</f>
        <v>Iliana Porter</v>
      </c>
      <c r="D12" s="13" t="s">
        <v>302</v>
      </c>
      <c r="E12" s="14" t="str">
        <f>Data_Set_Raw!D11</f>
        <v>Poland</v>
      </c>
      <c r="F12" s="14" t="str">
        <f>IFERROR(VLOOKUP(Data_Set_Raw!E11,Data_Lookup!$C$15:$J$25,1,FALSE),VLOOKUP(Data_Set_Raw!E11,Data_Lookup!$D$15:$J$25,7,FALSE))</f>
        <v>SUPA-500</v>
      </c>
      <c r="G12" s="14" t="str">
        <f>IFERROR(VLOOKUP(Data_Set_Raw!$F11,Data_Lookup!$C$8:$D$10,2,FALSE),TRIM(Data_Set_Raw!F11))</f>
        <v>Online</v>
      </c>
      <c r="H12" s="30">
        <f>Data_Set_Raw!G11</f>
        <v>42240</v>
      </c>
      <c r="I12" s="14">
        <f>VALUE(Data_Set_Raw!H11)</f>
        <v>89</v>
      </c>
      <c r="J12" s="14">
        <f>VLOOKUP(F12,Data_Lookup!$C$15:$H$25,5,FALSE)</f>
        <v>500</v>
      </c>
      <c r="K12" s="14" t="str">
        <f>VLOOKUP(F12,Data_Lookup!$C$15:$H$25,6,FALSE)</f>
        <v>ml</v>
      </c>
      <c r="L12" s="31">
        <f>Data_Set_Raw!I11</f>
        <v>6</v>
      </c>
      <c r="M12" s="31">
        <f t="shared" si="0"/>
        <v>534</v>
      </c>
    </row>
    <row r="13" spans="1:13">
      <c r="B13" s="8">
        <f>VALUE(Data_Set_Raw!B12)</f>
        <v>23339</v>
      </c>
      <c r="C13" s="13" t="str">
        <f>PROPER(Data_Set_Raw!C12)</f>
        <v>Basil Vang</v>
      </c>
      <c r="D13" s="13" t="s">
        <v>303</v>
      </c>
      <c r="E13" s="14" t="str">
        <f>Data_Set_Raw!D12</f>
        <v>Moldova</v>
      </c>
      <c r="F13" s="14" t="str">
        <f>IFERROR(VLOOKUP(Data_Set_Raw!E12,Data_Lookup!$C$15:$J$25,1,FALSE),VLOOKUP(Data_Set_Raw!E12,Data_Lookup!$D$15:$J$25,7,FALSE))</f>
        <v>SUPA-500</v>
      </c>
      <c r="G13" s="14" t="str">
        <f>IFERROR(VLOOKUP(Data_Set_Raw!$F12,Data_Lookup!$C$8:$D$10,2,FALSE),TRIM(Data_Set_Raw!F12))</f>
        <v>Online</v>
      </c>
      <c r="H13" s="30">
        <f>Data_Set_Raw!G12</f>
        <v>41833</v>
      </c>
      <c r="I13" s="14">
        <f>VALUE(Data_Set_Raw!H12)</f>
        <v>41</v>
      </c>
      <c r="J13" s="14">
        <f>VLOOKUP(F13,Data_Lookup!$C$15:$H$25,5,FALSE)</f>
        <v>500</v>
      </c>
      <c r="K13" s="14" t="str">
        <f>VLOOKUP(F13,Data_Lookup!$C$15:$H$25,6,FALSE)</f>
        <v>ml</v>
      </c>
      <c r="L13" s="31">
        <f>Data_Set_Raw!I12</f>
        <v>6</v>
      </c>
      <c r="M13" s="31">
        <f t="shared" si="0"/>
        <v>246</v>
      </c>
    </row>
    <row r="14" spans="1:13">
      <c r="B14" s="8">
        <f>VALUE(Data_Set_Raw!B13)</f>
        <v>23268</v>
      </c>
      <c r="C14" s="13" t="str">
        <f>PROPER(Data_Set_Raw!C13)</f>
        <v>Latifah Wall</v>
      </c>
      <c r="D14" s="13" t="s">
        <v>304</v>
      </c>
      <c r="E14" s="14" t="str">
        <f>Data_Set_Raw!D13</f>
        <v>Saint Barthelemy</v>
      </c>
      <c r="F14" s="14" t="str">
        <f>IFERROR(VLOOKUP(Data_Set_Raw!E13,Data_Lookup!$C$15:$J$25,1,FALSE),VLOOKUP(Data_Set_Raw!E13,Data_Lookup!$D$15:$J$25,7,FALSE))</f>
        <v>SUPA-2000</v>
      </c>
      <c r="G14" s="14" t="str">
        <f>IFERROR(VLOOKUP(Data_Set_Raw!$F13,Data_Lookup!$C$8:$D$10,2,FALSE),TRIM(Data_Set_Raw!F13))</f>
        <v>Online</v>
      </c>
      <c r="H14" s="30">
        <f>Data_Set_Raw!G13</f>
        <v>41796</v>
      </c>
      <c r="I14" s="14">
        <f>VALUE(Data_Set_Raw!H13)</f>
        <v>82</v>
      </c>
      <c r="J14" s="14">
        <f>VLOOKUP(F14,Data_Lookup!$C$15:$H$25,5,FALSE)</f>
        <v>2000</v>
      </c>
      <c r="K14" s="14" t="str">
        <f>VLOOKUP(F14,Data_Lookup!$C$15:$H$25,6,FALSE)</f>
        <v>ml</v>
      </c>
      <c r="L14" s="31">
        <f>Data_Set_Raw!I13</f>
        <v>6</v>
      </c>
      <c r="M14" s="31">
        <f t="shared" si="0"/>
        <v>492</v>
      </c>
    </row>
    <row r="15" spans="1:13">
      <c r="B15" s="8">
        <f>VALUE(Data_Set_Raw!B14)</f>
        <v>23357</v>
      </c>
      <c r="C15" s="13" t="str">
        <f>PROPER(Data_Set_Raw!C14)</f>
        <v>Cyrus Whitley</v>
      </c>
      <c r="D15" s="13" t="s">
        <v>305</v>
      </c>
      <c r="E15" s="14" t="str">
        <f>Data_Set_Raw!D14</f>
        <v>Denmark</v>
      </c>
      <c r="F15" s="14" t="str">
        <f>IFERROR(VLOOKUP(Data_Set_Raw!E14,Data_Lookup!$C$15:$J$25,1,FALSE),VLOOKUP(Data_Set_Raw!E14,Data_Lookup!$D$15:$J$25,7,FALSE))</f>
        <v>DETA-200</v>
      </c>
      <c r="G15" s="14" t="str">
        <f>IFERROR(VLOOKUP(Data_Set_Raw!$F14,Data_Lookup!$C$8:$D$10,2,FALSE),TRIM(Data_Set_Raw!F14))</f>
        <v>Retail</v>
      </c>
      <c r="H15" s="30">
        <f>Data_Set_Raw!G14</f>
        <v>42182</v>
      </c>
      <c r="I15" s="14">
        <f>VALUE(Data_Set_Raw!H14)</f>
        <v>50</v>
      </c>
      <c r="J15" s="14">
        <f>VLOOKUP(F15,Data_Lookup!$C$15:$H$25,5,FALSE)</f>
        <v>200</v>
      </c>
      <c r="K15" s="14" t="str">
        <f>VLOOKUP(F15,Data_Lookup!$C$15:$H$25,6,FALSE)</f>
        <v>ml</v>
      </c>
      <c r="L15" s="31">
        <f>Data_Set_Raw!I14</f>
        <v>6</v>
      </c>
      <c r="M15" s="31">
        <f t="shared" si="0"/>
        <v>300</v>
      </c>
    </row>
    <row r="16" spans="1:13">
      <c r="B16" s="8">
        <f>VALUE(Data_Set_Raw!B15)</f>
        <v>23282</v>
      </c>
      <c r="C16" s="13" t="str">
        <f>PROPER(Data_Set_Raw!C15)</f>
        <v>Amir Alexander</v>
      </c>
      <c r="D16" s="13" t="s">
        <v>306</v>
      </c>
      <c r="E16" s="14" t="str">
        <f>Data_Set_Raw!D15</f>
        <v>Liberia</v>
      </c>
      <c r="F16" s="14" t="str">
        <f>IFERROR(VLOOKUP(Data_Set_Raw!E15,Data_Lookup!$C$15:$J$25,1,FALSE),VLOOKUP(Data_Set_Raw!E15,Data_Lookup!$D$15:$J$25,7,FALSE))</f>
        <v>PURA-100</v>
      </c>
      <c r="G16" s="14" t="str">
        <f>IFERROR(VLOOKUP(Data_Set_Raw!$F15,Data_Lookup!$C$8:$D$10,2,FALSE),TRIM(Data_Set_Raw!F15))</f>
        <v>Retail</v>
      </c>
      <c r="H16" s="30">
        <f>Data_Set_Raw!G15</f>
        <v>41804</v>
      </c>
      <c r="I16" s="14">
        <f>VALUE(Data_Set_Raw!H15)</f>
        <v>100</v>
      </c>
      <c r="J16" s="14">
        <f>VLOOKUP(F16,Data_Lookup!$C$15:$H$25,5,FALSE)</f>
        <v>100</v>
      </c>
      <c r="K16" s="14" t="str">
        <f>VLOOKUP(F16,Data_Lookup!$C$15:$H$25,6,FALSE)</f>
        <v>ml</v>
      </c>
      <c r="L16" s="31">
        <f>Data_Set_Raw!I15</f>
        <v>6</v>
      </c>
      <c r="M16" s="31">
        <f t="shared" si="0"/>
        <v>600</v>
      </c>
    </row>
    <row r="17" spans="2:13">
      <c r="B17" s="8">
        <f>VALUE(Data_Set_Raw!B16)</f>
        <v>23306</v>
      </c>
      <c r="C17" s="13" t="str">
        <f>PROPER(Data_Set_Raw!C16)</f>
        <v>Ima Cummings</v>
      </c>
      <c r="D17" s="13" t="s">
        <v>307</v>
      </c>
      <c r="E17" s="14" t="str">
        <f>Data_Set_Raw!D16</f>
        <v>Philippines</v>
      </c>
      <c r="F17" s="14" t="str">
        <f>IFERROR(VLOOKUP(Data_Set_Raw!E16,Data_Lookup!$C$15:$J$25,1,FALSE),VLOOKUP(Data_Set_Raw!E16,Data_Lookup!$D$15:$J$25,7,FALSE))</f>
        <v>SUPA-2000</v>
      </c>
      <c r="G17" s="14" t="str">
        <f>IFERROR(VLOOKUP(Data_Set_Raw!$F16,Data_Lookup!$C$8:$D$10,2,FALSE),TRIM(Data_Set_Raw!F16))</f>
        <v>Online</v>
      </c>
      <c r="H17" s="30">
        <f>Data_Set_Raw!G16</f>
        <v>42198</v>
      </c>
      <c r="I17" s="14">
        <f>VALUE(Data_Set_Raw!H16)</f>
        <v>93</v>
      </c>
      <c r="J17" s="14">
        <f>VLOOKUP(F17,Data_Lookup!$C$15:$H$25,5,FALSE)</f>
        <v>2000</v>
      </c>
      <c r="K17" s="14" t="str">
        <f>VLOOKUP(F17,Data_Lookup!$C$15:$H$25,6,FALSE)</f>
        <v>ml</v>
      </c>
      <c r="L17" s="31">
        <f>Data_Set_Raw!I16</f>
        <v>6.5</v>
      </c>
      <c r="M17" s="31">
        <f t="shared" si="0"/>
        <v>604.5</v>
      </c>
    </row>
    <row r="18" spans="2:13">
      <c r="B18" s="8">
        <f>VALUE(Data_Set_Raw!B17)</f>
        <v>23263</v>
      </c>
      <c r="C18" s="13" t="str">
        <f>PROPER(Data_Set_Raw!C17)</f>
        <v>Xerxes Smith</v>
      </c>
      <c r="D18" s="13" t="s">
        <v>308</v>
      </c>
      <c r="E18" s="14" t="str">
        <f>Data_Set_Raw!D17</f>
        <v>Panama</v>
      </c>
      <c r="F18" s="14" t="str">
        <f>IFERROR(VLOOKUP(Data_Set_Raw!E17,Data_Lookup!$C$15:$J$25,1,FALSE),VLOOKUP(Data_Set_Raw!E17,Data_Lookup!$D$15:$J$25,7,FALSE))</f>
        <v>SUPA-1000</v>
      </c>
      <c r="G18" s="14" t="str">
        <f>IFERROR(VLOOKUP(Data_Set_Raw!$F17,Data_Lookup!$C$8:$D$10,2,FALSE),TRIM(Data_Set_Raw!F17))</f>
        <v>Online</v>
      </c>
      <c r="H18" s="30">
        <f>Data_Set_Raw!G17</f>
        <v>42545</v>
      </c>
      <c r="I18" s="14">
        <f>VALUE(Data_Set_Raw!H17)</f>
        <v>73</v>
      </c>
      <c r="J18" s="14">
        <f>VLOOKUP(F18,Data_Lookup!$C$15:$H$25,5,FALSE)</f>
        <v>1000</v>
      </c>
      <c r="K18" s="14" t="str">
        <f>VLOOKUP(F18,Data_Lookup!$C$15:$H$25,6,FALSE)</f>
        <v>ml</v>
      </c>
      <c r="L18" s="31">
        <f>Data_Set_Raw!I17</f>
        <v>6.5</v>
      </c>
      <c r="M18" s="31">
        <f t="shared" si="0"/>
        <v>474.5</v>
      </c>
    </row>
    <row r="19" spans="2:13">
      <c r="B19" s="8">
        <f>VALUE(Data_Set_Raw!B18)</f>
        <v>23318</v>
      </c>
      <c r="C19" s="13" t="str">
        <f>PROPER(Data_Set_Raw!C18)</f>
        <v>Shea Cortez</v>
      </c>
      <c r="D19" s="13" t="s">
        <v>309</v>
      </c>
      <c r="E19" s="14" t="str">
        <f>Data_Set_Raw!D18</f>
        <v>India</v>
      </c>
      <c r="F19" s="14" t="str">
        <f>IFERROR(VLOOKUP(Data_Set_Raw!E18,Data_Lookup!$C$15:$J$25,1,FALSE),VLOOKUP(Data_Set_Raw!E18,Data_Lookup!$D$15:$J$25,7,FALSE))</f>
        <v>SUPA-2000</v>
      </c>
      <c r="G19" s="14" t="str">
        <f>IFERROR(VLOOKUP(Data_Set_Raw!$F18,Data_Lookup!$C$8:$D$10,2,FALSE),TRIM(Data_Set_Raw!F18))</f>
        <v>Online</v>
      </c>
      <c r="H19" s="30">
        <f>Data_Set_Raw!G18</f>
        <v>42233</v>
      </c>
      <c r="I19" s="14">
        <f>VALUE(Data_Set_Raw!H18)</f>
        <v>48</v>
      </c>
      <c r="J19" s="14">
        <f>VLOOKUP(F19,Data_Lookup!$C$15:$H$25,5,FALSE)</f>
        <v>2000</v>
      </c>
      <c r="K19" s="14" t="str">
        <f>VLOOKUP(F19,Data_Lookup!$C$15:$H$25,6,FALSE)</f>
        <v>ml</v>
      </c>
      <c r="L19" s="31">
        <f>Data_Set_Raw!I18</f>
        <v>6.5</v>
      </c>
      <c r="M19" s="31">
        <f t="shared" si="0"/>
        <v>312</v>
      </c>
    </row>
    <row r="20" spans="2:13">
      <c r="B20" s="8">
        <f>VALUE(Data_Set_Raw!B19)</f>
        <v>23349</v>
      </c>
      <c r="C20" s="13" t="str">
        <f>PROPER(Data_Set_Raw!C19)</f>
        <v>Amery Frazier</v>
      </c>
      <c r="D20" s="13" t="s">
        <v>310</v>
      </c>
      <c r="E20" s="14" t="str">
        <f>Data_Set_Raw!D19</f>
        <v>Georgia</v>
      </c>
      <c r="F20" s="14" t="str">
        <f>IFERROR(VLOOKUP(Data_Set_Raw!E19,Data_Lookup!$C$15:$J$25,1,FALSE),VLOOKUP(Data_Set_Raw!E19,Data_Lookup!$D$15:$J$25,7,FALSE))</f>
        <v>SUPA-500</v>
      </c>
      <c r="G20" s="14" t="str">
        <f>IFERROR(VLOOKUP(TRIM(Data_Set_Raw!$F19),Data_Lookup!$C$8:$D$10,2,FALSE),TRIM(Data_Set_Raw!F19))</f>
        <v>Retail</v>
      </c>
      <c r="H20" s="30">
        <f>Data_Set_Raw!G19</f>
        <v>42596</v>
      </c>
      <c r="I20" s="14">
        <f>VALUE(Data_Set_Raw!H19)</f>
        <v>126</v>
      </c>
      <c r="J20" s="14">
        <f>VLOOKUP(F20,Data_Lookup!$C$15:$H$25,5,FALSE)</f>
        <v>500</v>
      </c>
      <c r="K20" s="14" t="str">
        <f>VLOOKUP(F20,Data_Lookup!$C$15:$H$25,6,FALSE)</f>
        <v>ml</v>
      </c>
      <c r="L20" s="31">
        <f>Data_Set_Raw!I19</f>
        <v>6.5</v>
      </c>
      <c r="M20" s="31">
        <f t="shared" si="0"/>
        <v>819</v>
      </c>
    </row>
    <row r="21" spans="2:13">
      <c r="B21" s="8">
        <f>VALUE(Data_Set_Raw!B20)</f>
        <v>23373</v>
      </c>
      <c r="C21" s="13" t="str">
        <f>PROPER(Data_Set_Raw!C20)</f>
        <v>Maite Henson</v>
      </c>
      <c r="D21" s="13" t="s">
        <v>311</v>
      </c>
      <c r="E21" s="14" t="str">
        <f>Data_Set_Raw!D20</f>
        <v>Bangladesh</v>
      </c>
      <c r="F21" s="14" t="str">
        <f>IFERROR(VLOOKUP(Data_Set_Raw!E20,Data_Lookup!$C$15:$J$25,1,FALSE),VLOOKUP(Data_Set_Raw!E20,Data_Lookup!$D$15:$J$25,7,FALSE))</f>
        <v>SUPA-1000</v>
      </c>
      <c r="G21" s="14" t="str">
        <f>IFERROR(VLOOKUP(TRIM(Data_Set_Raw!$F20),Data_Lookup!$C$8:$D$10,2,FALSE),TRIM(Data_Set_Raw!F20))</f>
        <v>Online</v>
      </c>
      <c r="H21" s="30">
        <f>Data_Set_Raw!G20</f>
        <v>42199</v>
      </c>
      <c r="I21" s="14">
        <f>VALUE(Data_Set_Raw!H20)</f>
        <v>95</v>
      </c>
      <c r="J21" s="14">
        <f>VLOOKUP(F21,Data_Lookup!$C$15:$H$25,5,FALSE)</f>
        <v>1000</v>
      </c>
      <c r="K21" s="14" t="str">
        <f>VLOOKUP(F21,Data_Lookup!$C$15:$H$25,6,FALSE)</f>
        <v>ml</v>
      </c>
      <c r="L21" s="31">
        <f>Data_Set_Raw!I20</f>
        <v>6.5</v>
      </c>
      <c r="M21" s="31">
        <f t="shared" si="0"/>
        <v>617.5</v>
      </c>
    </row>
    <row r="22" spans="2:13">
      <c r="B22" s="8">
        <f>VALUE(Data_Set_Raw!B21)</f>
        <v>23272</v>
      </c>
      <c r="C22" s="13" t="str">
        <f>PROPER(Data_Set_Raw!C21)</f>
        <v>Anjolie Hicks</v>
      </c>
      <c r="D22" s="13" t="s">
        <v>312</v>
      </c>
      <c r="E22" s="14" t="str">
        <f>Data_Set_Raw!D21</f>
        <v>Turks and Caicos Islands</v>
      </c>
      <c r="F22" s="14" t="str">
        <f>IFERROR(VLOOKUP(Data_Set_Raw!E21,Data_Lookup!$C$15:$J$25,1,FALSE),VLOOKUP(Data_Set_Raw!E21,Data_Lookup!$D$15:$J$25,7,FALSE))</f>
        <v>DETA-100</v>
      </c>
      <c r="G22" s="14" t="str">
        <f>IFERROR(VLOOKUP(TRIM(Data_Set_Raw!$F21),Data_Lookup!$C$8:$D$10,2,FALSE),TRIM(Data_Set_Raw!F21))</f>
        <v>Direct</v>
      </c>
      <c r="H22" s="30">
        <f>Data_Set_Raw!G21</f>
        <v>42589</v>
      </c>
      <c r="I22" s="14">
        <f>VALUE(Data_Set_Raw!H21)</f>
        <v>71</v>
      </c>
      <c r="J22" s="14">
        <f>VLOOKUP(F22,Data_Lookup!$C$15:$H$25,5,FALSE)</f>
        <v>100</v>
      </c>
      <c r="K22" s="14" t="str">
        <f>VLOOKUP(F22,Data_Lookup!$C$15:$H$25,6,FALSE)</f>
        <v>ml</v>
      </c>
      <c r="L22" s="31">
        <f>Data_Set_Raw!I21</f>
        <v>6.5</v>
      </c>
      <c r="M22" s="31">
        <f t="shared" si="0"/>
        <v>461.5</v>
      </c>
    </row>
    <row r="23" spans="2:13">
      <c r="B23" s="8">
        <f>VALUE(Data_Set_Raw!B22)</f>
        <v>23327</v>
      </c>
      <c r="C23" s="13" t="str">
        <f>PROPER(Data_Set_Raw!C22)</f>
        <v>Fletcher Jimenez</v>
      </c>
      <c r="D23" s="13" t="s">
        <v>313</v>
      </c>
      <c r="E23" s="14" t="str">
        <f>Data_Set_Raw!D22</f>
        <v>Chad</v>
      </c>
      <c r="F23" s="14" t="str">
        <f>IFERROR(VLOOKUP(Data_Set_Raw!E22,Data_Lookup!$C$15:$J$25,1,FALSE),VLOOKUP(Data_Set_Raw!E22,Data_Lookup!$D$15:$J$25,7,FALSE))</f>
        <v>PURA-500</v>
      </c>
      <c r="G23" s="14" t="str">
        <f>IFERROR(VLOOKUP(TRIM(Data_Set_Raw!$F22),Data_Lookup!$C$8:$D$10,2,FALSE),TRIM(Data_Set_Raw!F22))</f>
        <v>Retail</v>
      </c>
      <c r="H23" s="30">
        <f>Data_Set_Raw!G22</f>
        <v>41873</v>
      </c>
      <c r="I23" s="14">
        <f>VALUE(Data_Set_Raw!H22)</f>
        <v>176</v>
      </c>
      <c r="J23" s="14">
        <f>VLOOKUP(F23,Data_Lookup!$C$15:$H$25,5,FALSE)</f>
        <v>500</v>
      </c>
      <c r="K23" s="14" t="str">
        <f>VLOOKUP(F23,Data_Lookup!$C$15:$H$25,6,FALSE)</f>
        <v>ml</v>
      </c>
      <c r="L23" s="31">
        <f>Data_Set_Raw!I22</f>
        <v>6.5</v>
      </c>
      <c r="M23" s="31">
        <f t="shared" si="0"/>
        <v>1144</v>
      </c>
    </row>
    <row r="24" spans="2:13">
      <c r="B24" s="8">
        <f>VALUE(Data_Set_Raw!B23)</f>
        <v>23344</v>
      </c>
      <c r="C24" s="13" t="str">
        <f>PROPER(Data_Set_Raw!C23)</f>
        <v>Winifred Cantu</v>
      </c>
      <c r="D24" s="13" t="s">
        <v>314</v>
      </c>
      <c r="E24" s="14" t="str">
        <f>Data_Set_Raw!D23</f>
        <v>Kazakhstan</v>
      </c>
      <c r="F24" s="14" t="str">
        <f>IFERROR(VLOOKUP(Data_Set_Raw!E23,Data_Lookup!$C$15:$J$25,1,FALSE),VLOOKUP(Data_Set_Raw!E23,Data_Lookup!$D$15:$J$25,7,FALSE))</f>
        <v>PURA-250</v>
      </c>
      <c r="G24" s="14" t="str">
        <f>IFERROR(VLOOKUP(TRIM(Data_Set_Raw!$F23),Data_Lookup!$C$8:$D$10,2,FALSE),TRIM(Data_Set_Raw!F23))</f>
        <v>Online</v>
      </c>
      <c r="H24" s="30">
        <f>Data_Set_Raw!G23</f>
        <v>41871</v>
      </c>
      <c r="I24" s="14">
        <f>VALUE(Data_Set_Raw!H23)</f>
        <v>64</v>
      </c>
      <c r="J24" s="14">
        <f>VLOOKUP(F24,Data_Lookup!$C$15:$H$25,5,FALSE)</f>
        <v>250</v>
      </c>
      <c r="K24" s="14" t="str">
        <f>VLOOKUP(F24,Data_Lookup!$C$15:$H$25,6,FALSE)</f>
        <v>ml</v>
      </c>
      <c r="L24" s="31">
        <f>Data_Set_Raw!I23</f>
        <v>6.5</v>
      </c>
      <c r="M24" s="31">
        <f t="shared" si="0"/>
        <v>416</v>
      </c>
    </row>
    <row r="25" spans="2:13">
      <c r="B25" s="8">
        <f>VALUE(Data_Set_Raw!B24)</f>
        <v>23294</v>
      </c>
      <c r="C25" s="13" t="str">
        <f>PROPER(Data_Set_Raw!C24)</f>
        <v>Samuel Ayala</v>
      </c>
      <c r="D25" s="13" t="s">
        <v>315</v>
      </c>
      <c r="E25" s="14" t="str">
        <f>Data_Set_Raw!D24</f>
        <v>Brazil</v>
      </c>
      <c r="F25" s="14" t="str">
        <f>IFERROR(VLOOKUP(Data_Set_Raw!E24,Data_Lookup!$C$15:$J$25,1,FALSE),VLOOKUP(Data_Set_Raw!E24,Data_Lookup!$D$15:$J$25,7,FALSE))</f>
        <v>PURA-250</v>
      </c>
      <c r="G25" s="14" t="str">
        <f>IFERROR(VLOOKUP(TRIM(Data_Set_Raw!$F24),Data_Lookup!$C$8:$D$10,2,FALSE),TRIM(Data_Set_Raw!F24))</f>
        <v>Retail</v>
      </c>
      <c r="H25" s="30">
        <f>Data_Set_Raw!G24</f>
        <v>42199</v>
      </c>
      <c r="I25" s="14">
        <f>VALUE(Data_Set_Raw!H24)</f>
        <v>160</v>
      </c>
      <c r="J25" s="14">
        <f>VLOOKUP(F25,Data_Lookup!$C$15:$H$25,5,FALSE)</f>
        <v>250</v>
      </c>
      <c r="K25" s="14" t="str">
        <f>VLOOKUP(F25,Data_Lookup!$C$15:$H$25,6,FALSE)</f>
        <v>ml</v>
      </c>
      <c r="L25" s="31">
        <f>Data_Set_Raw!I24</f>
        <v>9</v>
      </c>
      <c r="M25" s="31">
        <f t="shared" si="0"/>
        <v>1440</v>
      </c>
    </row>
    <row r="26" spans="2:13">
      <c r="B26" s="8">
        <f>VALUE(Data_Set_Raw!B25)</f>
        <v>23350</v>
      </c>
      <c r="C26" s="13" t="str">
        <f>PROPER(Data_Set_Raw!C25)</f>
        <v>Hiroko Acevedo</v>
      </c>
      <c r="D26" s="13" t="s">
        <v>316</v>
      </c>
      <c r="E26" s="14" t="str">
        <f>Data_Set_Raw!D25</f>
        <v>Burundi</v>
      </c>
      <c r="F26" s="14" t="str">
        <f>IFERROR(VLOOKUP(Data_Set_Raw!E25,Data_Lookup!$C$15:$J$25,1,FALSE),VLOOKUP(Data_Set_Raw!E25,Data_Lookup!$D$15:$J$25,7,FALSE))</f>
        <v>SUPA-1000</v>
      </c>
      <c r="G26" s="14" t="str">
        <f>IFERROR(VLOOKUP(TRIM(Data_Set_Raw!$F25),Data_Lookup!$C$8:$D$10,2,FALSE),TRIM(Data_Set_Raw!F25))</f>
        <v>Online</v>
      </c>
      <c r="H26" s="30">
        <f>Data_Set_Raw!G25</f>
        <v>41798</v>
      </c>
      <c r="I26" s="14">
        <f>VALUE(Data_Set_Raw!H25)</f>
        <v>188</v>
      </c>
      <c r="J26" s="14">
        <f>VLOOKUP(F26,Data_Lookup!$C$15:$H$25,5,FALSE)</f>
        <v>1000</v>
      </c>
      <c r="K26" s="14" t="str">
        <f>VLOOKUP(F26,Data_Lookup!$C$15:$H$25,6,FALSE)</f>
        <v>ml</v>
      </c>
      <c r="L26" s="31">
        <f>Data_Set_Raw!I25</f>
        <v>9</v>
      </c>
      <c r="M26" s="31">
        <f t="shared" si="0"/>
        <v>1692</v>
      </c>
    </row>
    <row r="27" spans="2:13">
      <c r="B27" s="8">
        <f>VALUE(Data_Set_Raw!B26)</f>
        <v>23347</v>
      </c>
      <c r="C27" s="13" t="str">
        <f>PROPER(Data_Set_Raw!C26)</f>
        <v>Nell Maddox</v>
      </c>
      <c r="D27" s="13" t="s">
        <v>317</v>
      </c>
      <c r="E27" s="14" t="str">
        <f>Data_Set_Raw!D26</f>
        <v>Azerbaijan</v>
      </c>
      <c r="F27" s="14" t="str">
        <f>IFERROR(VLOOKUP(Data_Set_Raw!E26,Data_Lookup!$C$15:$J$25,1,FALSE),VLOOKUP(Data_Set_Raw!E26,Data_Lookup!$D$15:$J$25,7,FALSE))</f>
        <v>SUPA-2000</v>
      </c>
      <c r="G27" s="14" t="str">
        <f>IFERROR(VLOOKUP(TRIM(Data_Set_Raw!$F26),Data_Lookup!$C$8:$D$10,2,FALSE),TRIM(Data_Set_Raw!F26))</f>
        <v>Online</v>
      </c>
      <c r="H27" s="30">
        <f>Data_Set_Raw!G26</f>
        <v>41872</v>
      </c>
      <c r="I27" s="14">
        <f>VALUE(Data_Set_Raw!H26)</f>
        <v>147</v>
      </c>
      <c r="J27" s="14">
        <f>VLOOKUP(F27,Data_Lookup!$C$15:$H$25,5,FALSE)</f>
        <v>2000</v>
      </c>
      <c r="K27" s="14" t="str">
        <f>VLOOKUP(F27,Data_Lookup!$C$15:$H$25,6,FALSE)</f>
        <v>ml</v>
      </c>
      <c r="L27" s="31">
        <f>Data_Set_Raw!I26</f>
        <v>9</v>
      </c>
      <c r="M27" s="31">
        <f t="shared" si="0"/>
        <v>1323</v>
      </c>
    </row>
    <row r="28" spans="2:13">
      <c r="B28" s="8">
        <f>VALUE(Data_Set_Raw!B27)</f>
        <v>23364</v>
      </c>
      <c r="C28" s="13" t="str">
        <f>PROPER(Data_Set_Raw!C27)</f>
        <v>Mercedes Humphrey</v>
      </c>
      <c r="D28" s="13" t="s">
        <v>318</v>
      </c>
      <c r="E28" s="14" t="str">
        <f>Data_Set_Raw!D27</f>
        <v>Turkey</v>
      </c>
      <c r="F28" s="14" t="str">
        <f>IFERROR(VLOOKUP(Data_Set_Raw!E27,Data_Lookup!$C$15:$J$25,1,FALSE),VLOOKUP(Data_Set_Raw!E27,Data_Lookup!$D$15:$J$25,7,FALSE))</f>
        <v>PURA-100</v>
      </c>
      <c r="G28" s="14" t="str">
        <f>IFERROR(VLOOKUP(TRIM(Data_Set_Raw!$F27),Data_Lookup!$C$8:$D$10,2,FALSE),TRIM(Data_Set_Raw!F27))</f>
        <v>Online</v>
      </c>
      <c r="H28" s="30">
        <f>Data_Set_Raw!G27</f>
        <v>42207</v>
      </c>
      <c r="I28" s="14">
        <f>VALUE(Data_Set_Raw!H27)</f>
        <v>47</v>
      </c>
      <c r="J28" s="14">
        <f>VLOOKUP(F28,Data_Lookup!$C$15:$H$25,5,FALSE)</f>
        <v>100</v>
      </c>
      <c r="K28" s="14" t="str">
        <f>VLOOKUP(F28,Data_Lookup!$C$15:$H$25,6,FALSE)</f>
        <v>ml</v>
      </c>
      <c r="L28" s="31">
        <f>Data_Set_Raw!I27</f>
        <v>9</v>
      </c>
      <c r="M28" s="31">
        <f t="shared" si="0"/>
        <v>423</v>
      </c>
    </row>
    <row r="29" spans="2:13">
      <c r="B29" s="8">
        <f>VALUE(Data_Set_Raw!B28)</f>
        <v>23275</v>
      </c>
      <c r="C29" s="13" t="str">
        <f>PROPER(Data_Set_Raw!C28)</f>
        <v>Ethan Gregory</v>
      </c>
      <c r="D29" s="13" t="s">
        <v>319</v>
      </c>
      <c r="E29" s="14" t="str">
        <f>Data_Set_Raw!D28</f>
        <v>Tuvalu</v>
      </c>
      <c r="F29" s="14" t="str">
        <f>IFERROR(VLOOKUP(Data_Set_Raw!E28,Data_Lookup!$C$15:$J$25,1,FALSE),VLOOKUP(Data_Set_Raw!E28,Data_Lookup!$D$15:$J$25,7,FALSE))</f>
        <v>PURA-200</v>
      </c>
      <c r="G29" s="14" t="str">
        <f>IFERROR(VLOOKUP(TRIM(Data_Set_Raw!$F28),Data_Lookup!$C$8:$D$10,2,FALSE),TRIM(Data_Set_Raw!F28))</f>
        <v>Retail</v>
      </c>
      <c r="H29" s="30">
        <f>Data_Set_Raw!G28</f>
        <v>42225</v>
      </c>
      <c r="I29" s="14">
        <f>VALUE(Data_Set_Raw!H28)</f>
        <v>141</v>
      </c>
      <c r="J29" s="14">
        <f>VLOOKUP(F29,Data_Lookup!$C$15:$H$25,5,FALSE)</f>
        <v>200</v>
      </c>
      <c r="K29" s="14" t="str">
        <f>VLOOKUP(F29,Data_Lookup!$C$15:$H$25,6,FALSE)</f>
        <v>ml</v>
      </c>
      <c r="L29" s="31">
        <f>Data_Set_Raw!I28</f>
        <v>9</v>
      </c>
      <c r="M29" s="31">
        <f t="shared" si="0"/>
        <v>1269</v>
      </c>
    </row>
    <row r="30" spans="2:13">
      <c r="B30" s="8">
        <f>VALUE(Data_Set_Raw!B29)</f>
        <v>23286</v>
      </c>
      <c r="C30" s="13" t="str">
        <f>PROPER(Data_Set_Raw!C29)</f>
        <v>Renee Padilla</v>
      </c>
      <c r="D30" s="13" t="s">
        <v>320</v>
      </c>
      <c r="E30" s="14" t="str">
        <f>Data_Set_Raw!D29</f>
        <v>Yemen</v>
      </c>
      <c r="F30" s="14" t="str">
        <f>IFERROR(VLOOKUP(Data_Set_Raw!E29,Data_Lookup!$C$15:$J$25,1,FALSE),VLOOKUP(Data_Set_Raw!E29,Data_Lookup!$D$15:$J$25,7,FALSE))</f>
        <v>DETA-800</v>
      </c>
      <c r="G30" s="14" t="str">
        <f>IFERROR(VLOOKUP(TRIM(Data_Set_Raw!$F29),Data_Lookup!$C$8:$D$10,2,FALSE),TRIM(Data_Set_Raw!F29))</f>
        <v>Online</v>
      </c>
      <c r="H30" s="30">
        <f>Data_Set_Raw!G29</f>
        <v>42156</v>
      </c>
      <c r="I30" s="14">
        <f>VALUE(Data_Set_Raw!H29)</f>
        <v>69</v>
      </c>
      <c r="J30" s="14">
        <f>VLOOKUP(F30,Data_Lookup!$C$15:$H$25,5,FALSE)</f>
        <v>800</v>
      </c>
      <c r="K30" s="14" t="str">
        <f>VLOOKUP(F30,Data_Lookup!$C$15:$H$25,6,FALSE)</f>
        <v>ml</v>
      </c>
      <c r="L30" s="31">
        <f>Data_Set_Raw!I29</f>
        <v>9</v>
      </c>
      <c r="M30" s="31">
        <f t="shared" si="0"/>
        <v>621</v>
      </c>
    </row>
    <row r="31" spans="2:13">
      <c r="B31" s="8">
        <f>VALUE(Data_Set_Raw!B30)</f>
        <v>23290</v>
      </c>
      <c r="C31" s="13" t="str">
        <f>PROPER(Data_Set_Raw!C30)</f>
        <v>Rama Goodwin</v>
      </c>
      <c r="D31" s="13" t="s">
        <v>321</v>
      </c>
      <c r="E31" s="14" t="str">
        <f>Data_Set_Raw!D30</f>
        <v>Tunisia</v>
      </c>
      <c r="F31" s="14" t="str">
        <f>IFERROR(VLOOKUP(Data_Set_Raw!E30,Data_Lookup!$C$15:$J$25,1,FALSE),VLOOKUP(Data_Set_Raw!E30,Data_Lookup!$D$15:$J$25,7,FALSE))</f>
        <v>DETA-100</v>
      </c>
      <c r="G31" s="14" t="str">
        <f>IFERROR(VLOOKUP(TRIM(Data_Set_Raw!$F30),Data_Lookup!$C$8:$D$10,2,FALSE),TRIM(Data_Set_Raw!F30))</f>
        <v>Online</v>
      </c>
      <c r="H31" s="30">
        <f>Data_Set_Raw!G30</f>
        <v>42567</v>
      </c>
      <c r="I31" s="14">
        <f>VALUE(Data_Set_Raw!H30)</f>
        <v>170</v>
      </c>
      <c r="J31" s="14">
        <f>VLOOKUP(F31,Data_Lookup!$C$15:$H$25,5,FALSE)</f>
        <v>100</v>
      </c>
      <c r="K31" s="14" t="str">
        <f>VLOOKUP(F31,Data_Lookup!$C$15:$H$25,6,FALSE)</f>
        <v>ml</v>
      </c>
      <c r="L31" s="31">
        <f>Data_Set_Raw!I30</f>
        <v>9</v>
      </c>
      <c r="M31" s="31">
        <f t="shared" si="0"/>
        <v>1530</v>
      </c>
    </row>
    <row r="32" spans="2:13">
      <c r="B32" s="8">
        <f>VALUE(Data_Set_Raw!B31)</f>
        <v>23297</v>
      </c>
      <c r="C32" s="13" t="str">
        <f>PROPER(Data_Set_Raw!C31)</f>
        <v>Ursula Mcconnell</v>
      </c>
      <c r="D32" s="13" t="s">
        <v>322</v>
      </c>
      <c r="E32" s="14" t="str">
        <f>Data_Set_Raw!D31</f>
        <v>Hungary</v>
      </c>
      <c r="F32" s="14" t="str">
        <f>IFERROR(VLOOKUP(Data_Set_Raw!E31,Data_Lookup!$C$15:$J$25,1,FALSE),VLOOKUP(Data_Set_Raw!E31,Data_Lookup!$D$15:$J$25,7,FALSE))</f>
        <v>PURA-200</v>
      </c>
      <c r="G32" s="14" t="str">
        <f>IFERROR(VLOOKUP(TRIM(Data_Set_Raw!$F31),Data_Lookup!$C$8:$D$10,2,FALSE),TRIM(Data_Set_Raw!F31))</f>
        <v>Online</v>
      </c>
      <c r="H32" s="30">
        <f>Data_Set_Raw!G31</f>
        <v>41793</v>
      </c>
      <c r="I32" s="14">
        <f>VALUE(Data_Set_Raw!H31)</f>
        <v>135</v>
      </c>
      <c r="J32" s="14">
        <f>VLOOKUP(F32,Data_Lookup!$C$15:$H$25,5,FALSE)</f>
        <v>200</v>
      </c>
      <c r="K32" s="14" t="str">
        <f>VLOOKUP(F32,Data_Lookup!$C$15:$H$25,6,FALSE)</f>
        <v>ml</v>
      </c>
      <c r="L32" s="31">
        <f>Data_Set_Raw!I31</f>
        <v>9</v>
      </c>
      <c r="M32" s="31">
        <f t="shared" si="0"/>
        <v>1215</v>
      </c>
    </row>
    <row r="33" spans="2:13">
      <c r="B33" s="8">
        <f>VALUE(Data_Set_Raw!B32)</f>
        <v>23335</v>
      </c>
      <c r="C33" s="13" t="str">
        <f>PROPER(Data_Set_Raw!C32)</f>
        <v>Noble Gilbert</v>
      </c>
      <c r="D33" s="13" t="s">
        <v>323</v>
      </c>
      <c r="E33" s="14" t="str">
        <f>Data_Set_Raw!D32</f>
        <v>United States</v>
      </c>
      <c r="F33" s="14" t="str">
        <f>IFERROR(VLOOKUP(Data_Set_Raw!E32,Data_Lookup!$C$15:$J$25,1,FALSE),VLOOKUP(Data_Set_Raw!E32,Data_Lookup!$D$15:$J$25,7,FALSE))</f>
        <v>SUPA-2000</v>
      </c>
      <c r="G33" s="14" t="str">
        <f>IFERROR(VLOOKUP(TRIM(Data_Set_Raw!$F32),Data_Lookup!$C$8:$D$10,2,FALSE),TRIM(Data_Set_Raw!F32))</f>
        <v>Online</v>
      </c>
      <c r="H33" s="30">
        <f>Data_Set_Raw!G32</f>
        <v>42177</v>
      </c>
      <c r="I33" s="14">
        <f>VALUE(Data_Set_Raw!H32)</f>
        <v>116</v>
      </c>
      <c r="J33" s="14">
        <f>VLOOKUP(F33,Data_Lookup!$C$15:$H$25,5,FALSE)</f>
        <v>2000</v>
      </c>
      <c r="K33" s="14" t="str">
        <f>VLOOKUP(F33,Data_Lookup!$C$15:$H$25,6,FALSE)</f>
        <v>ml</v>
      </c>
      <c r="L33" s="31">
        <f>Data_Set_Raw!I32</f>
        <v>9</v>
      </c>
      <c r="M33" s="31">
        <f t="shared" si="0"/>
        <v>1044</v>
      </c>
    </row>
    <row r="34" spans="2:13">
      <c r="B34" s="8">
        <f>VALUE(Data_Set_Raw!B33)</f>
        <v>23264</v>
      </c>
      <c r="C34" s="13" t="str">
        <f>PROPER(Data_Set_Raw!C33)</f>
        <v>Levi Douglas</v>
      </c>
      <c r="D34" s="13" t="s">
        <v>324</v>
      </c>
      <c r="E34" s="14" t="str">
        <f>Data_Set_Raw!D33</f>
        <v>Tanzania, United Republic of</v>
      </c>
      <c r="F34" s="14" t="str">
        <f>IFERROR(VLOOKUP(Data_Set_Raw!E33,Data_Lookup!$C$15:$J$25,1,FALSE),VLOOKUP(Data_Set_Raw!E33,Data_Lookup!$D$15:$J$25,7,FALSE))</f>
        <v>PURA-250</v>
      </c>
      <c r="G34" s="14" t="str">
        <f>IFERROR(VLOOKUP(TRIM(Data_Set_Raw!$F33),Data_Lookup!$C$8:$D$10,2,FALSE),TRIM(Data_Set_Raw!F33))</f>
        <v>Online</v>
      </c>
      <c r="H34" s="30">
        <f>Data_Set_Raw!G33</f>
        <v>41795</v>
      </c>
      <c r="I34" s="14">
        <f>VALUE(Data_Set_Raw!H33)</f>
        <v>205</v>
      </c>
      <c r="J34" s="14">
        <f>VLOOKUP(F34,Data_Lookup!$C$15:$H$25,5,FALSE)</f>
        <v>250</v>
      </c>
      <c r="K34" s="14" t="str">
        <f>VLOOKUP(F34,Data_Lookup!$C$15:$H$25,6,FALSE)</f>
        <v>ml</v>
      </c>
      <c r="L34" s="31">
        <f>Data_Set_Raw!I33</f>
        <v>9</v>
      </c>
      <c r="M34" s="31">
        <f t="shared" si="0"/>
        <v>1845</v>
      </c>
    </row>
    <row r="35" spans="2:13">
      <c r="B35" s="8">
        <f>VALUE(Data_Set_Raw!B34)</f>
        <v>23291</v>
      </c>
      <c r="C35" s="13" t="str">
        <f>PROPER(Data_Set_Raw!C34)</f>
        <v>Jelani Odonnell</v>
      </c>
      <c r="D35" s="13" t="s">
        <v>325</v>
      </c>
      <c r="E35" s="14" t="str">
        <f>Data_Set_Raw!D34</f>
        <v>Albania</v>
      </c>
      <c r="F35" s="14" t="str">
        <f>IFERROR(VLOOKUP(Data_Set_Raw!E34,Data_Lookup!$C$15:$J$25,1,FALSE),VLOOKUP(Data_Set_Raw!E34,Data_Lookup!$D$15:$J$25,7,FALSE))</f>
        <v>DETA-800</v>
      </c>
      <c r="G35" s="14" t="str">
        <f>IFERROR(VLOOKUP(TRIM(Data_Set_Raw!$F34),Data_Lookup!$C$8:$D$10,2,FALSE),TRIM(Data_Set_Raw!F34))</f>
        <v>Retail</v>
      </c>
      <c r="H35" s="30">
        <f>Data_Set_Raw!G34</f>
        <v>41854</v>
      </c>
      <c r="I35" s="14">
        <f>VALUE(Data_Set_Raw!H34)</f>
        <v>199</v>
      </c>
      <c r="J35" s="14">
        <f>VLOOKUP(F35,Data_Lookup!$C$15:$H$25,5,FALSE)</f>
        <v>800</v>
      </c>
      <c r="K35" s="14" t="str">
        <f>VLOOKUP(F35,Data_Lookup!$C$15:$H$25,6,FALSE)</f>
        <v>ml</v>
      </c>
      <c r="L35" s="31">
        <f>Data_Set_Raw!I34</f>
        <v>9</v>
      </c>
      <c r="M35" s="31">
        <f t="shared" si="0"/>
        <v>1791</v>
      </c>
    </row>
    <row r="36" spans="2:13">
      <c r="B36" s="8">
        <f>VALUE(Data_Set_Raw!B35)</f>
        <v>23269</v>
      </c>
      <c r="C36" s="13" t="str">
        <f>PROPER(Data_Set_Raw!C35)</f>
        <v>Jane Hernandez</v>
      </c>
      <c r="D36" s="13" t="s">
        <v>326</v>
      </c>
      <c r="E36" s="14" t="str">
        <f>Data_Set_Raw!D35</f>
        <v>Macedonia</v>
      </c>
      <c r="F36" s="14" t="str">
        <f>IFERROR(VLOOKUP(Data_Set_Raw!E35,Data_Lookup!$C$15:$J$25,1,FALSE),VLOOKUP(Data_Set_Raw!E35,Data_Lookup!$D$15:$J$25,7,FALSE))</f>
        <v>PURA-200</v>
      </c>
      <c r="G36" s="14" t="str">
        <f>IFERROR(VLOOKUP(TRIM(Data_Set_Raw!$F35),Data_Lookup!$C$8:$D$10,2,FALSE),TRIM(Data_Set_Raw!F35))</f>
        <v>Online</v>
      </c>
      <c r="H36" s="30">
        <f>Data_Set_Raw!G35</f>
        <v>42181</v>
      </c>
      <c r="I36" s="14">
        <f>VALUE(Data_Set_Raw!H35)</f>
        <v>116</v>
      </c>
      <c r="J36" s="14">
        <f>VLOOKUP(F36,Data_Lookup!$C$15:$H$25,5,FALSE)</f>
        <v>200</v>
      </c>
      <c r="K36" s="14" t="str">
        <f>VLOOKUP(F36,Data_Lookup!$C$15:$H$25,6,FALSE)</f>
        <v>ml</v>
      </c>
      <c r="L36" s="31">
        <f>Data_Set_Raw!I35</f>
        <v>3</v>
      </c>
      <c r="M36" s="31">
        <f t="shared" si="0"/>
        <v>348</v>
      </c>
    </row>
    <row r="37" spans="2:13">
      <c r="B37" s="8">
        <f>VALUE(Data_Set_Raw!B36)</f>
        <v>23322</v>
      </c>
      <c r="C37" s="13" t="str">
        <f>PROPER(Data_Set_Raw!C36)</f>
        <v>Arsenio Knowles</v>
      </c>
      <c r="D37" s="13" t="s">
        <v>327</v>
      </c>
      <c r="E37" s="14" t="str">
        <f>Data_Set_Raw!D36</f>
        <v>Malaysia</v>
      </c>
      <c r="F37" s="14" t="str">
        <f>IFERROR(VLOOKUP(Data_Set_Raw!E36,Data_Lookup!$C$15:$J$25,1,FALSE),VLOOKUP(Data_Set_Raw!E36,Data_Lookup!$D$15:$J$25,7,FALSE))</f>
        <v>PURA-100</v>
      </c>
      <c r="G37" s="14" t="str">
        <f>IFERROR(VLOOKUP(TRIM(Data_Set_Raw!$F36),Data_Lookup!$C$8:$D$10,2,FALSE),TRIM(Data_Set_Raw!F36))</f>
        <v>Retail</v>
      </c>
      <c r="H37" s="30">
        <f>Data_Set_Raw!G36</f>
        <v>41874</v>
      </c>
      <c r="I37" s="14">
        <f>VALUE(Data_Set_Raw!H36)</f>
        <v>20</v>
      </c>
      <c r="J37" s="14">
        <f>VLOOKUP(F37,Data_Lookup!$C$15:$H$25,5,FALSE)</f>
        <v>100</v>
      </c>
      <c r="K37" s="14" t="str">
        <f>VLOOKUP(F37,Data_Lookup!$C$15:$H$25,6,FALSE)</f>
        <v>ml</v>
      </c>
      <c r="L37" s="31">
        <f>Data_Set_Raw!I36</f>
        <v>3</v>
      </c>
      <c r="M37" s="31">
        <f t="shared" si="0"/>
        <v>60</v>
      </c>
    </row>
    <row r="38" spans="2:13">
      <c r="B38" s="8">
        <f>VALUE(Data_Set_Raw!B37)</f>
        <v>23279</v>
      </c>
      <c r="C38" s="13" t="str">
        <f>PROPER(Data_Set_Raw!C37)</f>
        <v>Angela Wise</v>
      </c>
      <c r="D38" s="13" t="s">
        <v>328</v>
      </c>
      <c r="E38" s="14" t="str">
        <f>Data_Set_Raw!D37</f>
        <v>Moldova</v>
      </c>
      <c r="F38" s="14" t="str">
        <f>IFERROR(VLOOKUP(Data_Set_Raw!E37,Data_Lookup!$C$15:$J$25,1,FALSE),VLOOKUP(Data_Set_Raw!E37,Data_Lookup!$D$15:$J$25,7,FALSE))</f>
        <v>PURA-250</v>
      </c>
      <c r="G38" s="14" t="str">
        <f>IFERROR(VLOOKUP(TRIM(Data_Set_Raw!$F37),Data_Lookup!$C$8:$D$10,2,FALSE),TRIM(Data_Set_Raw!F37))</f>
        <v>Online</v>
      </c>
      <c r="H38" s="30">
        <f>Data_Set_Raw!G37</f>
        <v>42160</v>
      </c>
      <c r="I38" s="14">
        <f>VALUE(Data_Set_Raw!H37)</f>
        <v>10</v>
      </c>
      <c r="J38" s="14">
        <f>VLOOKUP(F38,Data_Lookup!$C$15:$H$25,5,FALSE)</f>
        <v>250</v>
      </c>
      <c r="K38" s="14" t="str">
        <f>VLOOKUP(F38,Data_Lookup!$C$15:$H$25,6,FALSE)</f>
        <v>ml</v>
      </c>
      <c r="L38" s="31">
        <f>Data_Set_Raw!I37</f>
        <v>3</v>
      </c>
      <c r="M38" s="31">
        <f t="shared" si="0"/>
        <v>30</v>
      </c>
    </row>
    <row r="39" spans="2:13">
      <c r="B39" s="8">
        <f>VALUE(Data_Set_Raw!B38)</f>
        <v>23341</v>
      </c>
      <c r="C39" s="13" t="str">
        <f>PROPER(Data_Set_Raw!C38)</f>
        <v>Noel Key</v>
      </c>
      <c r="D39" s="13" t="s">
        <v>329</v>
      </c>
      <c r="E39" s="14" t="str">
        <f>Data_Set_Raw!D38</f>
        <v>Gambia</v>
      </c>
      <c r="F39" s="14" t="str">
        <f>IFERROR(VLOOKUP(Data_Set_Raw!E38,Data_Lookup!$C$15:$J$25,1,FALSE),VLOOKUP(Data_Set_Raw!E38,Data_Lookup!$D$15:$J$25,7,FALSE))</f>
        <v>PURA-200</v>
      </c>
      <c r="G39" s="14" t="str">
        <f>IFERROR(VLOOKUP(TRIM(Data_Set_Raw!$F38),Data_Lookup!$C$8:$D$10,2,FALSE),TRIM(Data_Set_Raw!F38))</f>
        <v>Retail</v>
      </c>
      <c r="H39" s="30">
        <f>Data_Set_Raw!G38</f>
        <v>42603</v>
      </c>
      <c r="I39" s="14">
        <f>VALUE(Data_Set_Raw!H38)</f>
        <v>77</v>
      </c>
      <c r="J39" s="14">
        <f>VLOOKUP(F39,Data_Lookup!$C$15:$H$25,5,FALSE)</f>
        <v>200</v>
      </c>
      <c r="K39" s="14" t="str">
        <f>VLOOKUP(F39,Data_Lookup!$C$15:$H$25,6,FALSE)</f>
        <v>ml</v>
      </c>
      <c r="L39" s="31">
        <f>Data_Set_Raw!I38</f>
        <v>3</v>
      </c>
      <c r="M39" s="31">
        <f t="shared" si="0"/>
        <v>231</v>
      </c>
    </row>
    <row r="40" spans="2:13">
      <c r="B40" s="8">
        <f>VALUE(Data_Set_Raw!B39)</f>
        <v>23370</v>
      </c>
      <c r="C40" s="13" t="str">
        <f>PROPER(Data_Set_Raw!C39)</f>
        <v>Clark Orr</v>
      </c>
      <c r="D40" s="13" t="s">
        <v>330</v>
      </c>
      <c r="E40" s="14" t="str">
        <f>Data_Set_Raw!D39</f>
        <v>Indonesia</v>
      </c>
      <c r="F40" s="14" t="str">
        <f>IFERROR(VLOOKUP(Data_Set_Raw!E39,Data_Lookup!$C$15:$J$25,1,FALSE),VLOOKUP(Data_Set_Raw!E39,Data_Lookup!$D$15:$J$25,7,FALSE))</f>
        <v>DETA-800</v>
      </c>
      <c r="G40" s="14" t="str">
        <f>IFERROR(VLOOKUP(TRIM(Data_Set_Raw!$F39),Data_Lookup!$C$8:$D$10,2,FALSE),TRIM(Data_Set_Raw!F39))</f>
        <v>Retail</v>
      </c>
      <c r="H40" s="30">
        <f>Data_Set_Raw!G39</f>
        <v>42229</v>
      </c>
      <c r="I40" s="14">
        <f>VALUE(Data_Set_Raw!H39)</f>
        <v>63</v>
      </c>
      <c r="J40" s="14">
        <f>VLOOKUP(F40,Data_Lookup!$C$15:$H$25,5,FALSE)</f>
        <v>800</v>
      </c>
      <c r="K40" s="14" t="str">
        <f>VLOOKUP(F40,Data_Lookup!$C$15:$H$25,6,FALSE)</f>
        <v>ml</v>
      </c>
      <c r="L40" s="31">
        <f>Data_Set_Raw!I39</f>
        <v>3</v>
      </c>
      <c r="M40" s="31">
        <f t="shared" si="0"/>
        <v>189</v>
      </c>
    </row>
    <row r="41" spans="2:13">
      <c r="B41" s="8">
        <f>VALUE(Data_Set_Raw!B40)</f>
        <v>23308</v>
      </c>
      <c r="C41" s="13" t="str">
        <f>PROPER(Data_Set_Raw!C40)</f>
        <v>Dara Cunningham</v>
      </c>
      <c r="D41" s="13" t="s">
        <v>331</v>
      </c>
      <c r="E41" s="14" t="str">
        <f>Data_Set_Raw!D40</f>
        <v>Saint Helena</v>
      </c>
      <c r="F41" s="14" t="str">
        <f>IFERROR(VLOOKUP(Data_Set_Raw!E40,Data_Lookup!$C$15:$J$25,1,FALSE),VLOOKUP(Data_Set_Raw!E40,Data_Lookup!$D$15:$J$25,7,FALSE))</f>
        <v>PURA-100</v>
      </c>
      <c r="G41" s="14" t="str">
        <f>IFERROR(VLOOKUP(TRIM(Data_Set_Raw!$F40),Data_Lookup!$C$8:$D$10,2,FALSE),TRIM(Data_Set_Raw!F40))</f>
        <v>Retail</v>
      </c>
      <c r="H41" s="30">
        <f>Data_Set_Raw!G40</f>
        <v>42231</v>
      </c>
      <c r="I41" s="14">
        <f>VALUE(Data_Set_Raw!H40)</f>
        <v>112</v>
      </c>
      <c r="J41" s="14">
        <f>VLOOKUP(F41,Data_Lookup!$C$15:$H$25,5,FALSE)</f>
        <v>100</v>
      </c>
      <c r="K41" s="14" t="str">
        <f>VLOOKUP(F41,Data_Lookup!$C$15:$H$25,6,FALSE)</f>
        <v>ml</v>
      </c>
      <c r="L41" s="31">
        <f>Data_Set_Raw!I40</f>
        <v>3</v>
      </c>
      <c r="M41" s="31">
        <f t="shared" si="0"/>
        <v>336</v>
      </c>
    </row>
    <row r="42" spans="2:13">
      <c r="B42" s="8">
        <f>VALUE(Data_Set_Raw!B41)</f>
        <v>23267</v>
      </c>
      <c r="C42" s="13" t="str">
        <f>PROPER(Data_Set_Raw!C41)</f>
        <v>Vance Campos</v>
      </c>
      <c r="D42" s="13" t="s">
        <v>332</v>
      </c>
      <c r="E42" s="14" t="str">
        <f>Data_Set_Raw!D41</f>
        <v>Syria</v>
      </c>
      <c r="F42" s="14" t="str">
        <f>IFERROR(VLOOKUP(Data_Set_Raw!E41,Data_Lookup!$C$15:$J$25,1,FALSE),VLOOKUP(Data_Set_Raw!E41,Data_Lookup!$D$15:$J$25,7,FALSE))</f>
        <v>SUPA-500</v>
      </c>
      <c r="G42" s="14" t="str">
        <f>IFERROR(VLOOKUP(TRIM(Data_Set_Raw!$F41),Data_Lookup!$C$8:$D$10,2,FALSE),TRIM(Data_Set_Raw!F41))</f>
        <v>Online</v>
      </c>
      <c r="H42" s="30">
        <f>Data_Set_Raw!G41</f>
        <v>42242</v>
      </c>
      <c r="I42" s="14">
        <f>VALUE(Data_Set_Raw!H41)</f>
        <v>129</v>
      </c>
      <c r="J42" s="14">
        <f>VLOOKUP(F42,Data_Lookup!$C$15:$H$25,5,FALSE)</f>
        <v>500</v>
      </c>
      <c r="K42" s="14" t="str">
        <f>VLOOKUP(F42,Data_Lookup!$C$15:$H$25,6,FALSE)</f>
        <v>ml</v>
      </c>
      <c r="L42" s="31">
        <f>Data_Set_Raw!I41</f>
        <v>3</v>
      </c>
      <c r="M42" s="31">
        <f t="shared" si="0"/>
        <v>387</v>
      </c>
    </row>
    <row r="43" spans="2:13">
      <c r="B43" s="8">
        <f>VALUE(Data_Set_Raw!B42)</f>
        <v>23334</v>
      </c>
      <c r="C43" s="13" t="str">
        <f>PROPER(Data_Set_Raw!C42)</f>
        <v>Silas Battle</v>
      </c>
      <c r="D43" s="13" t="s">
        <v>333</v>
      </c>
      <c r="E43" s="14" t="str">
        <f>Data_Set_Raw!D42</f>
        <v>Niue</v>
      </c>
      <c r="F43" s="14" t="str">
        <f>IFERROR(VLOOKUP(Data_Set_Raw!E42,Data_Lookup!$C$15:$J$25,1,FALSE),VLOOKUP(Data_Set_Raw!E42,Data_Lookup!$D$15:$J$25,7,FALSE))</f>
        <v>SUPA-250</v>
      </c>
      <c r="G43" s="14" t="str">
        <f>IFERROR(VLOOKUP(TRIM(Data_Set_Raw!$F42),Data_Lookup!$C$8:$D$10,2,FALSE),TRIM(Data_Set_Raw!F42))</f>
        <v>Online</v>
      </c>
      <c r="H43" s="30">
        <f>Data_Set_Raw!G42</f>
        <v>42211</v>
      </c>
      <c r="I43" s="14">
        <f>VALUE(Data_Set_Raw!H42)</f>
        <v>14</v>
      </c>
      <c r="J43" s="14">
        <f>VLOOKUP(F43,Data_Lookup!$C$15:$H$25,5,FALSE)</f>
        <v>250</v>
      </c>
      <c r="K43" s="14" t="str">
        <f>VLOOKUP(F43,Data_Lookup!$C$15:$H$25,6,FALSE)</f>
        <v>ml</v>
      </c>
      <c r="L43" s="31">
        <f>Data_Set_Raw!I42</f>
        <v>3</v>
      </c>
      <c r="M43" s="31">
        <f t="shared" si="0"/>
        <v>42</v>
      </c>
    </row>
    <row r="44" spans="2:13">
      <c r="B44" s="8">
        <f>VALUE(Data_Set_Raw!B43)</f>
        <v>23362</v>
      </c>
      <c r="C44" s="13" t="str">
        <f>PROPER(Data_Set_Raw!C43)</f>
        <v>Jerry Alvarado</v>
      </c>
      <c r="D44" s="13" t="s">
        <v>334</v>
      </c>
      <c r="E44" s="14" t="str">
        <f>Data_Set_Raw!D43</f>
        <v>Korea, Republic of</v>
      </c>
      <c r="F44" s="14" t="str">
        <f>IFERROR(VLOOKUP(Data_Set_Raw!E43,Data_Lookup!$C$15:$J$25,1,FALSE),VLOOKUP(Data_Set_Raw!E43,Data_Lookup!$D$15:$J$25,7,FALSE))</f>
        <v>PURA-500</v>
      </c>
      <c r="G44" s="14" t="str">
        <f>IFERROR(VLOOKUP(TRIM(Data_Set_Raw!$F43),Data_Lookup!$C$8:$D$10,2,FALSE),TRIM(Data_Set_Raw!F43))</f>
        <v>Online</v>
      </c>
      <c r="H44" s="30">
        <f>Data_Set_Raw!G43</f>
        <v>42225</v>
      </c>
      <c r="I44" s="14">
        <f>VALUE(Data_Set_Raw!H43)</f>
        <v>179</v>
      </c>
      <c r="J44" s="14">
        <f>VLOOKUP(F44,Data_Lookup!$C$15:$H$25,5,FALSE)</f>
        <v>500</v>
      </c>
      <c r="K44" s="14" t="str">
        <f>VLOOKUP(F44,Data_Lookup!$C$15:$H$25,6,FALSE)</f>
        <v>ml</v>
      </c>
      <c r="L44" s="31">
        <f>Data_Set_Raw!I43</f>
        <v>3</v>
      </c>
      <c r="M44" s="31">
        <f t="shared" si="0"/>
        <v>537</v>
      </c>
    </row>
    <row r="45" spans="2:13">
      <c r="B45" s="8">
        <f>VALUE(Data_Set_Raw!B44)</f>
        <v>23274</v>
      </c>
      <c r="C45" s="13" t="str">
        <f>PROPER(Data_Set_Raw!C44)</f>
        <v>Asher Weber</v>
      </c>
      <c r="D45" s="13" t="s">
        <v>335</v>
      </c>
      <c r="E45" s="14" t="str">
        <f>Data_Set_Raw!D44</f>
        <v>Macedonia</v>
      </c>
      <c r="F45" s="14" t="str">
        <f>IFERROR(VLOOKUP(Data_Set_Raw!E44,Data_Lookup!$C$15:$J$25,1,FALSE),VLOOKUP(Data_Set_Raw!E44,Data_Lookup!$D$15:$J$25,7,FALSE))</f>
        <v>SUPA-2000</v>
      </c>
      <c r="G45" s="14" t="str">
        <f>IFERROR(VLOOKUP(TRIM(Data_Set_Raw!$F44),Data_Lookup!$C$8:$D$10,2,FALSE),TRIM(Data_Set_Raw!F44))</f>
        <v>Retail</v>
      </c>
      <c r="H45" s="30">
        <f>Data_Set_Raw!G44</f>
        <v>42235</v>
      </c>
      <c r="I45" s="14">
        <f>VALUE(Data_Set_Raw!H44)</f>
        <v>153</v>
      </c>
      <c r="J45" s="14">
        <f>VLOOKUP(F45,Data_Lookup!$C$15:$H$25,5,FALSE)</f>
        <v>2000</v>
      </c>
      <c r="K45" s="14" t="str">
        <f>VLOOKUP(F45,Data_Lookup!$C$15:$H$25,6,FALSE)</f>
        <v>ml</v>
      </c>
      <c r="L45" s="31">
        <f>Data_Set_Raw!I44</f>
        <v>3</v>
      </c>
      <c r="M45" s="31">
        <f t="shared" si="0"/>
        <v>459</v>
      </c>
    </row>
    <row r="46" spans="2:13">
      <c r="B46" s="8">
        <f>VALUE(Data_Set_Raw!B45)</f>
        <v>23304</v>
      </c>
      <c r="C46" s="13" t="str">
        <f>PROPER(Data_Set_Raw!C45)</f>
        <v>Deanna Santana</v>
      </c>
      <c r="D46" s="13" t="s">
        <v>336</v>
      </c>
      <c r="E46" s="14" t="str">
        <f>Data_Set_Raw!D45</f>
        <v>Solomon Islands</v>
      </c>
      <c r="F46" s="14" t="str">
        <f>IFERROR(VLOOKUP(Data_Set_Raw!E45,Data_Lookup!$C$15:$J$25,1,FALSE),VLOOKUP(Data_Set_Raw!E45,Data_Lookup!$D$15:$J$25,7,FALSE))</f>
        <v>DETA-800</v>
      </c>
      <c r="G46" s="14" t="str">
        <f>IFERROR(VLOOKUP(TRIM(Data_Set_Raw!$F45),Data_Lookup!$C$8:$D$10,2,FALSE),TRIM(Data_Set_Raw!F45))</f>
        <v>Retail</v>
      </c>
      <c r="H46" s="30">
        <f>Data_Set_Raw!G45</f>
        <v>42607</v>
      </c>
      <c r="I46" s="14">
        <f>VALUE(Data_Set_Raw!H45)</f>
        <v>131</v>
      </c>
      <c r="J46" s="14">
        <f>VLOOKUP(F46,Data_Lookup!$C$15:$H$25,5,FALSE)</f>
        <v>800</v>
      </c>
      <c r="K46" s="14" t="str">
        <f>VLOOKUP(F46,Data_Lookup!$C$15:$H$25,6,FALSE)</f>
        <v>ml</v>
      </c>
      <c r="L46" s="31">
        <f>Data_Set_Raw!I45</f>
        <v>3.99</v>
      </c>
      <c r="M46" s="31">
        <f t="shared" si="0"/>
        <v>522.69000000000005</v>
      </c>
    </row>
    <row r="47" spans="2:13">
      <c r="B47" s="8">
        <f>VALUE(Data_Set_Raw!B46)</f>
        <v>23316</v>
      </c>
      <c r="C47" s="13" t="str">
        <f>PROPER(Data_Set_Raw!C46)</f>
        <v>Robert Juarez</v>
      </c>
      <c r="D47" s="13" t="s">
        <v>337</v>
      </c>
      <c r="E47" s="14" t="str">
        <f>Data_Set_Raw!D46</f>
        <v>Svalbard and Jan Mayen</v>
      </c>
      <c r="F47" s="14" t="str">
        <f>IFERROR(VLOOKUP(Data_Set_Raw!E46,Data_Lookup!$C$15:$J$25,1,FALSE),VLOOKUP(Data_Set_Raw!E46,Data_Lookup!$D$15:$J$25,7,FALSE))</f>
        <v>DETA-800</v>
      </c>
      <c r="G47" s="14" t="str">
        <f>IFERROR(VLOOKUP(TRIM(Data_Set_Raw!$F46),Data_Lookup!$C$8:$D$10,2,FALSE),TRIM(Data_Set_Raw!F46))</f>
        <v>Retail</v>
      </c>
      <c r="H47" s="30">
        <f>Data_Set_Raw!G46</f>
        <v>42602</v>
      </c>
      <c r="I47" s="14">
        <f>VALUE(Data_Set_Raw!H46)</f>
        <v>137</v>
      </c>
      <c r="J47" s="14">
        <f>VLOOKUP(F47,Data_Lookup!$C$15:$H$25,5,FALSE)</f>
        <v>800</v>
      </c>
      <c r="K47" s="14" t="str">
        <f>VLOOKUP(F47,Data_Lookup!$C$15:$H$25,6,FALSE)</f>
        <v>ml</v>
      </c>
      <c r="L47" s="31">
        <f>Data_Set_Raw!I46</f>
        <v>3.99</v>
      </c>
      <c r="M47" s="31">
        <f t="shared" si="0"/>
        <v>546.63</v>
      </c>
    </row>
    <row r="48" spans="2:13">
      <c r="B48" s="8">
        <f>VALUE(Data_Set_Raw!B47)</f>
        <v>23356</v>
      </c>
      <c r="C48" s="13" t="str">
        <f>PROPER(Data_Set_Raw!C47)</f>
        <v>Colette Sargent</v>
      </c>
      <c r="D48" s="13" t="s">
        <v>338</v>
      </c>
      <c r="E48" s="14" t="str">
        <f>Data_Set_Raw!D47</f>
        <v>Norfolk Island</v>
      </c>
      <c r="F48" s="14" t="str">
        <f>IFERROR(VLOOKUP(Data_Set_Raw!E47,Data_Lookup!$C$15:$J$25,1,FALSE),VLOOKUP(Data_Set_Raw!E47,Data_Lookup!$D$15:$J$25,7,FALSE))</f>
        <v>DETA-100</v>
      </c>
      <c r="G48" s="14" t="str">
        <f>IFERROR(VLOOKUP(TRIM(Data_Set_Raw!$F47),Data_Lookup!$C$8:$D$10,2,FALSE),TRIM(Data_Set_Raw!F47))</f>
        <v>Online</v>
      </c>
      <c r="H48" s="30">
        <f>Data_Set_Raw!G47</f>
        <v>42202</v>
      </c>
      <c r="I48" s="14">
        <f>VALUE(Data_Set_Raw!H47)</f>
        <v>80</v>
      </c>
      <c r="J48" s="14">
        <f>VLOOKUP(F48,Data_Lookup!$C$15:$H$25,5,FALSE)</f>
        <v>100</v>
      </c>
      <c r="K48" s="14" t="str">
        <f>VLOOKUP(F48,Data_Lookup!$C$15:$H$25,6,FALSE)</f>
        <v>ml</v>
      </c>
      <c r="L48" s="31">
        <f>Data_Set_Raw!I47</f>
        <v>3.99</v>
      </c>
      <c r="M48" s="31">
        <f t="shared" si="0"/>
        <v>319.20000000000005</v>
      </c>
    </row>
    <row r="49" spans="2:13">
      <c r="B49" s="8">
        <f>VALUE(Data_Set_Raw!B48)</f>
        <v>23309</v>
      </c>
      <c r="C49" s="13" t="str">
        <f>PROPER(Data_Set_Raw!C48)</f>
        <v>Buckminster Hopkins</v>
      </c>
      <c r="D49" s="13" t="s">
        <v>339</v>
      </c>
      <c r="E49" s="14" t="str">
        <f>Data_Set_Raw!D48</f>
        <v>Sierra Leone</v>
      </c>
      <c r="F49" s="14" t="str">
        <f>IFERROR(VLOOKUP(Data_Set_Raw!E48,Data_Lookup!$C$15:$J$25,1,FALSE),VLOOKUP(Data_Set_Raw!E48,Data_Lookup!$D$15:$J$25,7,FALSE))</f>
        <v>SUPA-250</v>
      </c>
      <c r="G49" s="14" t="str">
        <f>IFERROR(VLOOKUP(TRIM(Data_Set_Raw!$F48),Data_Lookup!$C$8:$D$10,2,FALSE),TRIM(Data_Set_Raw!F48))</f>
        <v>Online</v>
      </c>
      <c r="H49" s="30">
        <f>Data_Set_Raw!G48</f>
        <v>42181</v>
      </c>
      <c r="I49" s="14">
        <f>VALUE(Data_Set_Raw!H48)</f>
        <v>201</v>
      </c>
      <c r="J49" s="14">
        <f>VLOOKUP(F49,Data_Lookup!$C$15:$H$25,5,FALSE)</f>
        <v>250</v>
      </c>
      <c r="K49" s="14" t="str">
        <f>VLOOKUP(F49,Data_Lookup!$C$15:$H$25,6,FALSE)</f>
        <v>ml</v>
      </c>
      <c r="L49" s="31">
        <f>Data_Set_Raw!I48</f>
        <v>3.99</v>
      </c>
      <c r="M49" s="31">
        <f t="shared" si="0"/>
        <v>801.99</v>
      </c>
    </row>
    <row r="50" spans="2:13">
      <c r="B50" s="8">
        <f>VALUE(Data_Set_Raw!B49)</f>
        <v>23299</v>
      </c>
      <c r="C50" s="13" t="str">
        <f>PROPER(Data_Set_Raw!C49)</f>
        <v>Germaine Kidd</v>
      </c>
      <c r="D50" s="13" t="s">
        <v>340</v>
      </c>
      <c r="E50" s="14" t="str">
        <f>Data_Set_Raw!D49</f>
        <v>Niger</v>
      </c>
      <c r="F50" s="14" t="str">
        <f>IFERROR(VLOOKUP(Data_Set_Raw!E49,Data_Lookup!$C$15:$J$25,1,FALSE),VLOOKUP(Data_Set_Raw!E49,Data_Lookup!$D$15:$J$25,7,FALSE))</f>
        <v>DETA-200</v>
      </c>
      <c r="G50" s="14" t="str">
        <f>IFERROR(VLOOKUP(TRIM(Data_Set_Raw!$F49),Data_Lookup!$C$8:$D$10,2,FALSE),TRIM(Data_Set_Raw!F49))</f>
        <v>Retail</v>
      </c>
      <c r="H50" s="30">
        <f>Data_Set_Raw!G49</f>
        <v>42540</v>
      </c>
      <c r="I50" s="14">
        <f>VALUE(Data_Set_Raw!H49)</f>
        <v>104</v>
      </c>
      <c r="J50" s="14">
        <f>VLOOKUP(F50,Data_Lookup!$C$15:$H$25,5,FALSE)</f>
        <v>200</v>
      </c>
      <c r="K50" s="14" t="str">
        <f>VLOOKUP(F50,Data_Lookup!$C$15:$H$25,6,FALSE)</f>
        <v>ml</v>
      </c>
      <c r="L50" s="31">
        <f>Data_Set_Raw!I49</f>
        <v>3.99</v>
      </c>
      <c r="M50" s="31">
        <f t="shared" si="0"/>
        <v>414.96000000000004</v>
      </c>
    </row>
    <row r="51" spans="2:13">
      <c r="B51" s="8">
        <f>VALUE(Data_Set_Raw!B50)</f>
        <v>23342</v>
      </c>
      <c r="C51" s="13" t="str">
        <f>PROPER(Data_Set_Raw!C50)</f>
        <v>Paul Duke</v>
      </c>
      <c r="D51" s="13" t="s">
        <v>341</v>
      </c>
      <c r="E51" s="14" t="str">
        <f>Data_Set_Raw!D50</f>
        <v>Puerto Rico</v>
      </c>
      <c r="F51" s="14" t="str">
        <f>IFERROR(VLOOKUP(Data_Set_Raw!E50,Data_Lookup!$C$15:$J$25,1,FALSE),VLOOKUP(Data_Set_Raw!E50,Data_Lookup!$D$15:$J$25,7,FALSE))</f>
        <v>PURA-200</v>
      </c>
      <c r="G51" s="14" t="str">
        <f>IFERROR(VLOOKUP(TRIM(Data_Set_Raw!$F50),Data_Lookup!$C$8:$D$10,2,FALSE),TRIM(Data_Set_Raw!F50))</f>
        <v>Online</v>
      </c>
      <c r="H51" s="30">
        <f>Data_Set_Raw!G50</f>
        <v>41862</v>
      </c>
      <c r="I51" s="14">
        <f>VALUE(Data_Set_Raw!H50)</f>
        <v>122</v>
      </c>
      <c r="J51" s="14">
        <f>VLOOKUP(F51,Data_Lookup!$C$15:$H$25,5,FALSE)</f>
        <v>200</v>
      </c>
      <c r="K51" s="14" t="str">
        <f>VLOOKUP(F51,Data_Lookup!$C$15:$H$25,6,FALSE)</f>
        <v>ml</v>
      </c>
      <c r="L51" s="31">
        <f>Data_Set_Raw!I50</f>
        <v>3.99</v>
      </c>
      <c r="M51" s="31">
        <f t="shared" si="0"/>
        <v>486.78000000000003</v>
      </c>
    </row>
    <row r="52" spans="2:13">
      <c r="B52" s="8">
        <f>VALUE(Data_Set_Raw!B51)</f>
        <v>23312</v>
      </c>
      <c r="C52" s="13" t="str">
        <f>PROPER(Data_Set_Raw!C51)</f>
        <v>Thomas Barnes</v>
      </c>
      <c r="D52" s="13" t="s">
        <v>342</v>
      </c>
      <c r="E52" s="14" t="str">
        <f>Data_Set_Raw!D51</f>
        <v>Mayotte</v>
      </c>
      <c r="F52" s="14" t="str">
        <f>IFERROR(VLOOKUP(Data_Set_Raw!E51,Data_Lookup!$C$15:$J$25,1,FALSE),VLOOKUP(Data_Set_Raw!E51,Data_Lookup!$D$15:$J$25,7,FALSE))</f>
        <v>SUPA-1000</v>
      </c>
      <c r="G52" s="14" t="str">
        <f>IFERROR(VLOOKUP(TRIM(Data_Set_Raw!$F51),Data_Lookup!$C$8:$D$10,2,FALSE),TRIM(Data_Set_Raw!F51))</f>
        <v>Online</v>
      </c>
      <c r="H52" s="30">
        <f>Data_Set_Raw!G51</f>
        <v>41841</v>
      </c>
      <c r="I52" s="14">
        <f>VALUE(Data_Set_Raw!H51)</f>
        <v>28</v>
      </c>
      <c r="J52" s="14">
        <f>VLOOKUP(F52,Data_Lookup!$C$15:$H$25,5,FALSE)</f>
        <v>1000</v>
      </c>
      <c r="K52" s="14" t="str">
        <f>VLOOKUP(F52,Data_Lookup!$C$15:$H$25,6,FALSE)</f>
        <v>ml</v>
      </c>
      <c r="L52" s="31">
        <f>Data_Set_Raw!I51</f>
        <v>3.99</v>
      </c>
      <c r="M52" s="31">
        <f t="shared" si="0"/>
        <v>111.72</v>
      </c>
    </row>
    <row r="53" spans="2:13">
      <c r="B53" s="8">
        <f>VALUE(Data_Set_Raw!B52)</f>
        <v>23351</v>
      </c>
      <c r="C53" s="13" t="str">
        <f>PROPER(Data_Set_Raw!C52)</f>
        <v>Nyssa Quinn</v>
      </c>
      <c r="D53" s="13" t="s">
        <v>343</v>
      </c>
      <c r="E53" s="14" t="str">
        <f>Data_Set_Raw!D52</f>
        <v>Cocos (Keeling) Islands</v>
      </c>
      <c r="F53" s="14" t="str">
        <f>IFERROR(VLOOKUP(Data_Set_Raw!E52,Data_Lookup!$C$15:$J$25,1,FALSE),VLOOKUP(Data_Set_Raw!E52,Data_Lookup!$D$15:$J$25,7,FALSE))</f>
        <v>SUPA-500</v>
      </c>
      <c r="G53" s="14" t="str">
        <f>IFERROR(VLOOKUP(TRIM(Data_Set_Raw!$F52),Data_Lookup!$C$8:$D$10,2,FALSE),TRIM(Data_Set_Raw!F52))</f>
        <v>Online</v>
      </c>
      <c r="H53" s="30">
        <f>Data_Set_Raw!G52</f>
        <v>42189</v>
      </c>
      <c r="I53" s="14">
        <f>VALUE(Data_Set_Raw!H52)</f>
        <v>151</v>
      </c>
      <c r="J53" s="14">
        <f>VLOOKUP(F53,Data_Lookup!$C$15:$H$25,5,FALSE)</f>
        <v>500</v>
      </c>
      <c r="K53" s="14" t="str">
        <f>VLOOKUP(F53,Data_Lookup!$C$15:$H$25,6,FALSE)</f>
        <v>ml</v>
      </c>
      <c r="L53" s="31">
        <f>Data_Set_Raw!I52</f>
        <v>3.99</v>
      </c>
      <c r="M53" s="31">
        <f t="shared" si="0"/>
        <v>602.49</v>
      </c>
    </row>
    <row r="54" spans="2:13">
      <c r="B54" s="8">
        <f>VALUE(Data_Set_Raw!B53)</f>
        <v>23266</v>
      </c>
      <c r="C54" s="13" t="str">
        <f>PROPER(Data_Set_Raw!C53)</f>
        <v>Celeste Pugh</v>
      </c>
      <c r="D54" s="13" t="s">
        <v>344</v>
      </c>
      <c r="E54" s="14" t="str">
        <f>Data_Set_Raw!D53</f>
        <v>Gabon</v>
      </c>
      <c r="F54" s="14" t="str">
        <f>IFERROR(VLOOKUP(Data_Set_Raw!E53,Data_Lookup!$C$15:$J$25,1,FALSE),VLOOKUP(Data_Set_Raw!E53,Data_Lookup!$D$15:$J$25,7,FALSE))</f>
        <v>DETA-100</v>
      </c>
      <c r="G54" s="14" t="str">
        <f>IFERROR(VLOOKUP(TRIM(Data_Set_Raw!$F53),Data_Lookup!$C$8:$D$10,2,FALSE),TRIM(Data_Set_Raw!F53))</f>
        <v>Online</v>
      </c>
      <c r="H54" s="30">
        <f>Data_Set_Raw!G53</f>
        <v>41872</v>
      </c>
      <c r="I54" s="14">
        <f>VALUE(Data_Set_Raw!H53)</f>
        <v>170</v>
      </c>
      <c r="J54" s="14">
        <f>VLOOKUP(F54,Data_Lookup!$C$15:$H$25,5,FALSE)</f>
        <v>100</v>
      </c>
      <c r="K54" s="14" t="str">
        <f>VLOOKUP(F54,Data_Lookup!$C$15:$H$25,6,FALSE)</f>
        <v>ml</v>
      </c>
      <c r="L54" s="31">
        <f>Data_Set_Raw!I53</f>
        <v>3.99</v>
      </c>
      <c r="M54" s="31">
        <f t="shared" si="0"/>
        <v>678.30000000000007</v>
      </c>
    </row>
    <row r="55" spans="2:13">
      <c r="B55" s="8">
        <f>VALUE(Data_Set_Raw!B54)</f>
        <v>23374</v>
      </c>
      <c r="C55" s="13" t="str">
        <f>PROPER(Data_Set_Raw!C54)</f>
        <v>Ebony Mercer</v>
      </c>
      <c r="D55" s="13" t="s">
        <v>345</v>
      </c>
      <c r="E55" s="14" t="str">
        <f>Data_Set_Raw!D54</f>
        <v>Cape Verde</v>
      </c>
      <c r="F55" s="14" t="str">
        <f>IFERROR(VLOOKUP(Data_Set_Raw!E54,Data_Lookup!$C$15:$J$25,1,FALSE),VLOOKUP(Data_Set_Raw!E54,Data_Lookup!$D$15:$J$25,7,FALSE))</f>
        <v>SUPA-500</v>
      </c>
      <c r="G55" s="14" t="str">
        <f>IFERROR(VLOOKUP(TRIM(Data_Set_Raw!$F54),Data_Lookup!$C$8:$D$10,2,FALSE),TRIM(Data_Set_Raw!F54))</f>
        <v>Online</v>
      </c>
      <c r="H55" s="30">
        <f>Data_Set_Raw!G54</f>
        <v>42222</v>
      </c>
      <c r="I55" s="14">
        <f>VALUE(Data_Set_Raw!H54)</f>
        <v>57</v>
      </c>
      <c r="J55" s="14">
        <f>VLOOKUP(F55,Data_Lookup!$C$15:$H$25,5,FALSE)</f>
        <v>500</v>
      </c>
      <c r="K55" s="14" t="str">
        <f>VLOOKUP(F55,Data_Lookup!$C$15:$H$25,6,FALSE)</f>
        <v>ml</v>
      </c>
      <c r="L55" s="31">
        <f>Data_Set_Raw!I54</f>
        <v>3.99</v>
      </c>
      <c r="M55" s="31">
        <f t="shared" si="0"/>
        <v>227.43</v>
      </c>
    </row>
    <row r="56" spans="2:13">
      <c r="B56" s="8">
        <f>VALUE(Data_Set_Raw!B55)</f>
        <v>23284</v>
      </c>
      <c r="C56" s="13" t="str">
        <f>PROPER(Data_Set_Raw!C55)</f>
        <v>Clark Weaver</v>
      </c>
      <c r="D56" s="13" t="s">
        <v>346</v>
      </c>
      <c r="E56" s="14" t="str">
        <f>Data_Set_Raw!D55</f>
        <v>Palau</v>
      </c>
      <c r="F56" s="14" t="str">
        <f>IFERROR(VLOOKUP(Data_Set_Raw!E55,Data_Lookup!$C$15:$J$25,1,FALSE),VLOOKUP(Data_Set_Raw!E55,Data_Lookup!$D$15:$J$25,7,FALSE))</f>
        <v>PURA-100</v>
      </c>
      <c r="G56" s="14" t="str">
        <f>IFERROR(VLOOKUP(TRIM(Data_Set_Raw!$F55),Data_Lookup!$C$8:$D$10,2,FALSE),TRIM(Data_Set_Raw!F55))</f>
        <v>Retail</v>
      </c>
      <c r="H56" s="30">
        <f>Data_Set_Raw!G55</f>
        <v>42548</v>
      </c>
      <c r="I56" s="14">
        <f>VALUE(Data_Set_Raw!H55)</f>
        <v>135</v>
      </c>
      <c r="J56" s="14">
        <f>VLOOKUP(F56,Data_Lookup!$C$15:$H$25,5,FALSE)</f>
        <v>100</v>
      </c>
      <c r="K56" s="14" t="str">
        <f>VLOOKUP(F56,Data_Lookup!$C$15:$H$25,6,FALSE)</f>
        <v>ml</v>
      </c>
      <c r="L56" s="31">
        <f>Data_Set_Raw!I55</f>
        <v>4.5</v>
      </c>
      <c r="M56" s="31">
        <f t="shared" si="0"/>
        <v>607.5</v>
      </c>
    </row>
    <row r="57" spans="2:13">
      <c r="B57" s="8">
        <f>VALUE(Data_Set_Raw!B56)</f>
        <v>23287</v>
      </c>
      <c r="C57" s="13" t="str">
        <f>PROPER(Data_Set_Raw!C56)</f>
        <v>Joy Vazquez</v>
      </c>
      <c r="D57" s="13" t="s">
        <v>347</v>
      </c>
      <c r="E57" s="14" t="str">
        <f>Data_Set_Raw!D56</f>
        <v>Korea</v>
      </c>
      <c r="F57" s="14" t="str">
        <f>IFERROR(VLOOKUP(Data_Set_Raw!E56,Data_Lookup!$C$15:$J$25,1,FALSE),VLOOKUP(Data_Set_Raw!E56,Data_Lookup!$D$15:$J$25,7,FALSE))</f>
        <v>DETA-200</v>
      </c>
      <c r="G57" s="14" t="str">
        <f>IFERROR(VLOOKUP(TRIM(Data_Set_Raw!$F56),Data_Lookup!$C$8:$D$10,2,FALSE),TRIM(Data_Set_Raw!F56))</f>
        <v>Retail</v>
      </c>
      <c r="H57" s="30">
        <f>Data_Set_Raw!G56</f>
        <v>41803</v>
      </c>
      <c r="I57" s="14">
        <f>VALUE(Data_Set_Raw!H56)</f>
        <v>189</v>
      </c>
      <c r="J57" s="14">
        <f>VLOOKUP(F57,Data_Lookup!$C$15:$H$25,5,FALSE)</f>
        <v>200</v>
      </c>
      <c r="K57" s="14" t="str">
        <f>VLOOKUP(F57,Data_Lookup!$C$15:$H$25,6,FALSE)</f>
        <v>ml</v>
      </c>
      <c r="L57" s="31">
        <f>Data_Set_Raw!I56</f>
        <v>4.5</v>
      </c>
      <c r="M57" s="31">
        <f t="shared" si="0"/>
        <v>850.5</v>
      </c>
    </row>
    <row r="58" spans="2:13">
      <c r="B58" s="8">
        <f>VALUE(Data_Set_Raw!B57)</f>
        <v>23367</v>
      </c>
      <c r="C58" s="13" t="str">
        <f>PROPER(Data_Set_Raw!C57)</f>
        <v>Roary Dixon</v>
      </c>
      <c r="D58" s="13" t="s">
        <v>348</v>
      </c>
      <c r="E58" s="14" t="str">
        <f>Data_Set_Raw!D57</f>
        <v>Saudi Arabia</v>
      </c>
      <c r="F58" s="14" t="str">
        <f>IFERROR(VLOOKUP(Data_Set_Raw!E57,Data_Lookup!$C$15:$J$25,1,FALSE),VLOOKUP(Data_Set_Raw!E57,Data_Lookup!$D$15:$J$25,7,FALSE))</f>
        <v>SUPA-250</v>
      </c>
      <c r="G58" s="14" t="str">
        <f>IFERROR(VLOOKUP(TRIM(Data_Set_Raw!$F57),Data_Lookup!$C$8:$D$10,2,FALSE),TRIM(Data_Set_Raw!F57))</f>
        <v>Retail</v>
      </c>
      <c r="H58" s="30">
        <f>Data_Set_Raw!G57</f>
        <v>42545</v>
      </c>
      <c r="I58" s="14">
        <f>VALUE(Data_Set_Raw!H57)</f>
        <v>10</v>
      </c>
      <c r="J58" s="14">
        <f>VLOOKUP(F58,Data_Lookup!$C$15:$H$25,5,FALSE)</f>
        <v>250</v>
      </c>
      <c r="K58" s="14" t="str">
        <f>VLOOKUP(F58,Data_Lookup!$C$15:$H$25,6,FALSE)</f>
        <v>ml</v>
      </c>
      <c r="L58" s="31">
        <f>Data_Set_Raw!I57</f>
        <v>4.5</v>
      </c>
      <c r="M58" s="31">
        <f t="shared" si="0"/>
        <v>45</v>
      </c>
    </row>
    <row r="59" spans="2:13">
      <c r="B59" s="8">
        <f>VALUE(Data_Set_Raw!B58)</f>
        <v>23355</v>
      </c>
      <c r="C59" s="13" t="str">
        <f>PROPER(Data_Set_Raw!C58)</f>
        <v>Victoria Solis</v>
      </c>
      <c r="D59" s="13" t="s">
        <v>349</v>
      </c>
      <c r="E59" s="14" t="str">
        <f>Data_Set_Raw!D58</f>
        <v>Palau</v>
      </c>
      <c r="F59" s="14" t="str">
        <f>IFERROR(VLOOKUP(Data_Set_Raw!E58,Data_Lookup!$C$15:$J$25,1,FALSE),VLOOKUP(Data_Set_Raw!E58,Data_Lookup!$D$15:$J$25,7,FALSE))</f>
        <v>PURA-100</v>
      </c>
      <c r="G59" s="14" t="str">
        <f>IFERROR(VLOOKUP(TRIM(Data_Set_Raw!$F58),Data_Lookup!$C$8:$D$10,2,FALSE),TRIM(Data_Set_Raw!F58))</f>
        <v>Online</v>
      </c>
      <c r="H59" s="30">
        <f>Data_Set_Raw!G58</f>
        <v>42602</v>
      </c>
      <c r="I59" s="14">
        <f>VALUE(Data_Set_Raw!H58)</f>
        <v>16</v>
      </c>
      <c r="J59" s="14">
        <f>VLOOKUP(F59,Data_Lookup!$C$15:$H$25,5,FALSE)</f>
        <v>100</v>
      </c>
      <c r="K59" s="14" t="str">
        <f>VLOOKUP(F59,Data_Lookup!$C$15:$H$25,6,FALSE)</f>
        <v>ml</v>
      </c>
      <c r="L59" s="31">
        <f>Data_Set_Raw!I58</f>
        <v>4.5</v>
      </c>
      <c r="M59" s="31">
        <f t="shared" si="0"/>
        <v>72</v>
      </c>
    </row>
    <row r="60" spans="2:13">
      <c r="B60" s="8">
        <f>VALUE(Data_Set_Raw!B59)</f>
        <v>23332</v>
      </c>
      <c r="C60" s="13" t="str">
        <f>PROPER(Data_Set_Raw!C59)</f>
        <v>Yael Carter</v>
      </c>
      <c r="D60" s="13" t="s">
        <v>350</v>
      </c>
      <c r="E60" s="14" t="str">
        <f>Data_Set_Raw!D59</f>
        <v>Malaysia</v>
      </c>
      <c r="F60" s="14" t="str">
        <f>IFERROR(VLOOKUP(Data_Set_Raw!E59,Data_Lookup!$C$15:$J$25,1,FALSE),VLOOKUP(Data_Set_Raw!E59,Data_Lookup!$D$15:$J$25,7,FALSE))</f>
        <v>PURA-250</v>
      </c>
      <c r="G60" s="14" t="str">
        <f>IFERROR(VLOOKUP(TRIM(Data_Set_Raw!$F59),Data_Lookup!$C$8:$D$10,2,FALSE),TRIM(Data_Set_Raw!F59))</f>
        <v>Direct</v>
      </c>
      <c r="H60" s="30">
        <f>Data_Set_Raw!G59</f>
        <v>42210</v>
      </c>
      <c r="I60" s="14">
        <f>VALUE(Data_Set_Raw!H59)</f>
        <v>4.5</v>
      </c>
      <c r="J60" s="14">
        <f>VLOOKUP(F60,Data_Lookup!$C$15:$H$25,5,FALSE)</f>
        <v>250</v>
      </c>
      <c r="K60" s="14" t="str">
        <f>VLOOKUP(F60,Data_Lookup!$C$15:$H$25,6,FALSE)</f>
        <v>ml</v>
      </c>
      <c r="L60" s="31">
        <f>Data_Set_Raw!I59</f>
        <v>4.5</v>
      </c>
      <c r="M60" s="31">
        <f t="shared" si="0"/>
        <v>20.25</v>
      </c>
    </row>
    <row r="61" spans="2:13">
      <c r="B61" s="8">
        <f>VALUE(Data_Set_Raw!B60)</f>
        <v>23315</v>
      </c>
      <c r="C61" s="13" t="str">
        <f>PROPER(Data_Set_Raw!C60)</f>
        <v>Anika Tillman</v>
      </c>
      <c r="D61" s="13" t="s">
        <v>351</v>
      </c>
      <c r="E61" s="14" t="str">
        <f>Data_Set_Raw!D60</f>
        <v>Burkina Faso</v>
      </c>
      <c r="F61" s="14" t="str">
        <f>IFERROR(VLOOKUP(Data_Set_Raw!E60,Data_Lookup!$C$15:$J$25,1,FALSE),VLOOKUP(Data_Set_Raw!E60,Data_Lookup!$D$15:$J$25,7,FALSE))</f>
        <v>DETA-100</v>
      </c>
      <c r="G61" s="14" t="str">
        <f>IFERROR(VLOOKUP(TRIM(Data_Set_Raw!$F60),Data_Lookup!$C$8:$D$10,2,FALSE),TRIM(Data_Set_Raw!F60))</f>
        <v>Retail</v>
      </c>
      <c r="H61" s="30">
        <f>Data_Set_Raw!G60</f>
        <v>41876</v>
      </c>
      <c r="I61" s="14">
        <f>VALUE(Data_Set_Raw!H60)</f>
        <v>109</v>
      </c>
      <c r="J61" s="14">
        <f>VLOOKUP(F61,Data_Lookup!$C$15:$H$25,5,FALSE)</f>
        <v>100</v>
      </c>
      <c r="K61" s="14" t="str">
        <f>VLOOKUP(F61,Data_Lookup!$C$15:$H$25,6,FALSE)</f>
        <v>ml</v>
      </c>
      <c r="L61" s="31">
        <f>Data_Set_Raw!I60</f>
        <v>4.5</v>
      </c>
      <c r="M61" s="31">
        <f t="shared" si="0"/>
        <v>490.5</v>
      </c>
    </row>
    <row r="62" spans="2:13">
      <c r="B62" s="8">
        <f>VALUE(Data_Set_Raw!B61)</f>
        <v>23317</v>
      </c>
      <c r="C62" s="13" t="str">
        <f>PROPER(Data_Set_Raw!C61)</f>
        <v>Kay Buckley</v>
      </c>
      <c r="D62" s="13" t="s">
        <v>352</v>
      </c>
      <c r="E62" s="14" t="str">
        <f>Data_Set_Raw!D61</f>
        <v>Malta</v>
      </c>
      <c r="F62" s="14" t="str">
        <f>IFERROR(VLOOKUP(Data_Set_Raw!E61,Data_Lookup!$C$15:$J$25,1,FALSE),VLOOKUP(Data_Set_Raw!E61,Data_Lookup!$D$15:$J$25,7,FALSE))</f>
        <v>DETA-100</v>
      </c>
      <c r="G62" s="14" t="str">
        <f>IFERROR(VLOOKUP(TRIM(Data_Set_Raw!$F61),Data_Lookup!$C$8:$D$10,2,FALSE),TRIM(Data_Set_Raw!F61))</f>
        <v>Direct</v>
      </c>
      <c r="H62" s="30">
        <f>Data_Set_Raw!G61</f>
        <v>42592</v>
      </c>
      <c r="I62" s="14">
        <f>VALUE(Data_Set_Raw!H61)</f>
        <v>196</v>
      </c>
      <c r="J62" s="14">
        <f>VLOOKUP(F62,Data_Lookup!$C$15:$H$25,5,FALSE)</f>
        <v>100</v>
      </c>
      <c r="K62" s="14" t="str">
        <f>VLOOKUP(F62,Data_Lookup!$C$15:$H$25,6,FALSE)</f>
        <v>ml</v>
      </c>
      <c r="L62" s="31">
        <f>Data_Set_Raw!I61</f>
        <v>4.5</v>
      </c>
      <c r="M62" s="31">
        <f t="shared" si="0"/>
        <v>882</v>
      </c>
    </row>
    <row r="63" spans="2:13">
      <c r="B63" s="8">
        <f>VALUE(Data_Set_Raw!B62)</f>
        <v>23329</v>
      </c>
      <c r="C63" s="13" t="str">
        <f>PROPER(Data_Set_Raw!C62)</f>
        <v>Melinda Cobb</v>
      </c>
      <c r="D63" s="13" t="s">
        <v>353</v>
      </c>
      <c r="E63" s="14" t="str">
        <f>Data_Set_Raw!D62</f>
        <v>Uruguay</v>
      </c>
      <c r="F63" s="14" t="str">
        <f>IFERROR(VLOOKUP(Data_Set_Raw!E62,Data_Lookup!$C$15:$J$25,1,FALSE),VLOOKUP(Data_Set_Raw!E62,Data_Lookup!$D$15:$J$25,7,FALSE))</f>
        <v>PURA-250</v>
      </c>
      <c r="G63" s="14" t="str">
        <f>IFERROR(VLOOKUP(TRIM(Data_Set_Raw!$F62),Data_Lookup!$C$8:$D$10,2,FALSE),TRIM(Data_Set_Raw!F62))</f>
        <v>Retail</v>
      </c>
      <c r="H63" s="30">
        <f>Data_Set_Raw!G62</f>
        <v>42160</v>
      </c>
      <c r="I63" s="14">
        <f>VALUE(Data_Set_Raw!H62)</f>
        <v>203</v>
      </c>
      <c r="J63" s="14">
        <f>VLOOKUP(F63,Data_Lookup!$C$15:$H$25,5,FALSE)</f>
        <v>250</v>
      </c>
      <c r="K63" s="14" t="str">
        <f>VLOOKUP(F63,Data_Lookup!$C$15:$H$25,6,FALSE)</f>
        <v>ml</v>
      </c>
      <c r="L63" s="31">
        <f>Data_Set_Raw!I62</f>
        <v>4.5</v>
      </c>
      <c r="M63" s="31">
        <f t="shared" si="0"/>
        <v>913.5</v>
      </c>
    </row>
    <row r="64" spans="2:13">
      <c r="B64" s="8">
        <f>VALUE(Data_Set_Raw!B63)</f>
        <v>23298</v>
      </c>
      <c r="C64" s="13" t="str">
        <f>PROPER(Data_Set_Raw!C63)</f>
        <v>Ryder Conner</v>
      </c>
      <c r="D64" s="13" t="s">
        <v>354</v>
      </c>
      <c r="E64" s="14" t="str">
        <f>Data_Set_Raw!D63</f>
        <v>Virgin Islands, British</v>
      </c>
      <c r="F64" s="14" t="str">
        <f>IFERROR(VLOOKUP(Data_Set_Raw!E63,Data_Lookup!$C$15:$J$25,1,FALSE),VLOOKUP(Data_Set_Raw!E63,Data_Lookup!$D$15:$J$25,7,FALSE))</f>
        <v>SUPA-250</v>
      </c>
      <c r="G64" s="14" t="str">
        <f>IFERROR(VLOOKUP(TRIM(Data_Set_Raw!$F63),Data_Lookup!$C$8:$D$10,2,FALSE),TRIM(Data_Set_Raw!F63))</f>
        <v>Direct</v>
      </c>
      <c r="H64" s="30">
        <f>Data_Set_Raw!G63</f>
        <v>42569</v>
      </c>
      <c r="I64" s="14">
        <f>VALUE(Data_Set_Raw!H63)</f>
        <v>12</v>
      </c>
      <c r="J64" s="14">
        <f>VLOOKUP(F64,Data_Lookup!$C$15:$H$25,5,FALSE)</f>
        <v>250</v>
      </c>
      <c r="K64" s="14" t="str">
        <f>VLOOKUP(F64,Data_Lookup!$C$15:$H$25,6,FALSE)</f>
        <v>ml</v>
      </c>
      <c r="L64" s="31">
        <f>Data_Set_Raw!I63</f>
        <v>4.5</v>
      </c>
      <c r="M64" s="31">
        <f t="shared" si="0"/>
        <v>54</v>
      </c>
    </row>
    <row r="65" spans="2:13">
      <c r="B65" s="8">
        <f>VALUE(Data_Set_Raw!B64)</f>
        <v>23333</v>
      </c>
      <c r="C65" s="13" t="str">
        <f>PROPER(Data_Set_Raw!C64)</f>
        <v>Sawyer Stokes</v>
      </c>
      <c r="D65" s="13" t="s">
        <v>355</v>
      </c>
      <c r="E65" s="14" t="str">
        <f>Data_Set_Raw!D64</f>
        <v>Malta</v>
      </c>
      <c r="F65" s="14" t="str">
        <f>IFERROR(VLOOKUP(Data_Set_Raw!E64,Data_Lookup!$C$15:$J$25,1,FALSE),VLOOKUP(Data_Set_Raw!E64,Data_Lookup!$D$15:$J$25,7,FALSE))</f>
        <v>SUPA-2000</v>
      </c>
      <c r="G65" s="14" t="str">
        <f>IFERROR(VLOOKUP(TRIM(Data_Set_Raw!$F64),Data_Lookup!$C$8:$D$10,2,FALSE),TRIM(Data_Set_Raw!F64))</f>
        <v>Online</v>
      </c>
      <c r="H65" s="30">
        <f>Data_Set_Raw!G64</f>
        <v>41846</v>
      </c>
      <c r="I65" s="14">
        <f>VALUE(Data_Set_Raw!H64)</f>
        <v>106</v>
      </c>
      <c r="J65" s="14">
        <f>VLOOKUP(F65,Data_Lookup!$C$15:$H$25,5,FALSE)</f>
        <v>2000</v>
      </c>
      <c r="K65" s="14" t="str">
        <f>VLOOKUP(F65,Data_Lookup!$C$15:$H$25,6,FALSE)</f>
        <v>ml</v>
      </c>
      <c r="L65" s="31">
        <f>Data_Set_Raw!I64</f>
        <v>4.5</v>
      </c>
      <c r="M65" s="31">
        <f t="shared" si="0"/>
        <v>477</v>
      </c>
    </row>
    <row r="66" spans="2:13">
      <c r="B66" s="8">
        <f>VALUE(Data_Set_Raw!B65)</f>
        <v>23338</v>
      </c>
      <c r="C66" s="13" t="str">
        <f>PROPER(Data_Set_Raw!C65)</f>
        <v>George Best</v>
      </c>
      <c r="D66" s="13" t="s">
        <v>356</v>
      </c>
      <c r="E66" s="14" t="str">
        <f>Data_Set_Raw!D65</f>
        <v>Western Sahara</v>
      </c>
      <c r="F66" s="14" t="str">
        <f>IFERROR(VLOOKUP(Data_Set_Raw!E65,Data_Lookup!$C$15:$J$25,1,FALSE),VLOOKUP(Data_Set_Raw!E65,Data_Lookup!$D$15:$J$25,7,FALSE))</f>
        <v>PURA-250</v>
      </c>
      <c r="G66" s="14" t="str">
        <f>IFERROR(VLOOKUP(TRIM(Data_Set_Raw!$F65),Data_Lookup!$C$8:$D$10,2,FALSE),TRIM(Data_Set_Raw!F65))</f>
        <v>Retail</v>
      </c>
      <c r="H66" s="30">
        <f>Data_Set_Raw!G65</f>
        <v>41872</v>
      </c>
      <c r="I66" s="14">
        <f>VALUE(Data_Set_Raw!H65)</f>
        <v>178</v>
      </c>
      <c r="J66" s="14">
        <f>VLOOKUP(F66,Data_Lookup!$C$15:$H$25,5,FALSE)</f>
        <v>250</v>
      </c>
      <c r="K66" s="14" t="str">
        <f>VLOOKUP(F66,Data_Lookup!$C$15:$H$25,6,FALSE)</f>
        <v>ml</v>
      </c>
      <c r="L66" s="31">
        <f>Data_Set_Raw!I65</f>
        <v>4.5</v>
      </c>
      <c r="M66" s="31">
        <f t="shared" si="0"/>
        <v>801</v>
      </c>
    </row>
    <row r="67" spans="2:13">
      <c r="B67" s="8">
        <f>VALUE(Data_Set_Raw!B66)</f>
        <v>23377</v>
      </c>
      <c r="C67" s="13" t="str">
        <f>PROPER(Data_Set_Raw!C66)</f>
        <v>Eleanor Hopper</v>
      </c>
      <c r="D67" s="13" t="s">
        <v>357</v>
      </c>
      <c r="E67" s="14" t="str">
        <f>Data_Set_Raw!D66</f>
        <v>Madagascar</v>
      </c>
      <c r="F67" s="14" t="str">
        <f>IFERROR(VLOOKUP(Data_Set_Raw!E66,Data_Lookup!$C$15:$J$25,1,FALSE),VLOOKUP(Data_Set_Raw!E66,Data_Lookup!$D$15:$J$25,7,FALSE))</f>
        <v>DETA-100</v>
      </c>
      <c r="G67" s="14" t="str">
        <f>IFERROR(VLOOKUP(TRIM(Data_Set_Raw!$F66),Data_Lookup!$C$8:$D$10,2,FALSE),TRIM(Data_Set_Raw!F66))</f>
        <v>Online</v>
      </c>
      <c r="H67" s="30">
        <f>Data_Set_Raw!G66</f>
        <v>41824</v>
      </c>
      <c r="I67" s="14">
        <f>VALUE(Data_Set_Raw!H66)</f>
        <v>43</v>
      </c>
      <c r="J67" s="14">
        <f>VLOOKUP(F67,Data_Lookup!$C$15:$H$25,5,FALSE)</f>
        <v>100</v>
      </c>
      <c r="K67" s="14" t="str">
        <f>VLOOKUP(F67,Data_Lookup!$C$15:$H$25,6,FALSE)</f>
        <v>ml</v>
      </c>
      <c r="L67" s="31">
        <f>Data_Set_Raw!I66</f>
        <v>6.5</v>
      </c>
      <c r="M67" s="31">
        <f t="shared" si="0"/>
        <v>279.5</v>
      </c>
    </row>
    <row r="68" spans="2:13">
      <c r="B68" s="8">
        <f>VALUE(Data_Set_Raw!B67)</f>
        <v>23369</v>
      </c>
      <c r="C68" s="13" t="str">
        <f>PROPER(Data_Set_Raw!C67)</f>
        <v>Ivor Mclaughlin</v>
      </c>
      <c r="D68" s="13" t="s">
        <v>358</v>
      </c>
      <c r="E68" s="14" t="str">
        <f>Data_Set_Raw!D67</f>
        <v>United States Minor Outlying Islands</v>
      </c>
      <c r="F68" s="14" t="str">
        <f>IFERROR(VLOOKUP(Data_Set_Raw!E67,Data_Lookup!$C$15:$J$25,1,FALSE),VLOOKUP(Data_Set_Raw!E67,Data_Lookup!$D$15:$J$25,7,FALSE))</f>
        <v>SUPA-500</v>
      </c>
      <c r="G68" s="14" t="str">
        <f>IFERROR(VLOOKUP(TRIM(Data_Set_Raw!$F67),Data_Lookup!$C$8:$D$10,2,FALSE),TRIM(Data_Set_Raw!F67))</f>
        <v>Retail</v>
      </c>
      <c r="H68" s="30">
        <f>Data_Set_Raw!G67</f>
        <v>42210</v>
      </c>
      <c r="I68" s="14">
        <f>VALUE(Data_Set_Raw!H67)</f>
        <v>77</v>
      </c>
      <c r="J68" s="14">
        <f>VLOOKUP(F68,Data_Lookup!$C$15:$H$25,5,FALSE)</f>
        <v>500</v>
      </c>
      <c r="K68" s="14" t="str">
        <f>VLOOKUP(F68,Data_Lookup!$C$15:$H$25,6,FALSE)</f>
        <v>ml</v>
      </c>
      <c r="L68" s="31">
        <f>Data_Set_Raw!I67</f>
        <v>6.5</v>
      </c>
      <c r="M68" s="31">
        <f t="shared" si="0"/>
        <v>500.5</v>
      </c>
    </row>
    <row r="69" spans="2:13">
      <c r="B69" s="8">
        <f>VALUE(Data_Set_Raw!B68)</f>
        <v>23380</v>
      </c>
      <c r="C69" s="13" t="str">
        <f>PROPER(Data_Set_Raw!C68)</f>
        <v>Ivory Chang</v>
      </c>
      <c r="D69" s="13" t="s">
        <v>359</v>
      </c>
      <c r="E69" s="14" t="str">
        <f>Data_Set_Raw!D68</f>
        <v>Tonga</v>
      </c>
      <c r="F69" s="14" t="str">
        <f>IFERROR(VLOOKUP(Data_Set_Raw!E68,Data_Lookup!$C$15:$J$25,1,FALSE),VLOOKUP(Data_Set_Raw!E68,Data_Lookup!$D$15:$J$25,7,FALSE))</f>
        <v>DETA-200</v>
      </c>
      <c r="G69" s="14" t="str">
        <f>IFERROR(VLOOKUP(TRIM(Data_Set_Raw!$F68),Data_Lookup!$C$8:$D$10,2,FALSE),TRIM(Data_Set_Raw!F68))</f>
        <v>Retail</v>
      </c>
      <c r="H69" s="30">
        <f>Data_Set_Raw!G68</f>
        <v>42163</v>
      </c>
      <c r="I69" s="14">
        <f>VALUE(Data_Set_Raw!H68)</f>
        <v>95</v>
      </c>
      <c r="J69" s="14">
        <f>VLOOKUP(F69,Data_Lookup!$C$15:$H$25,5,FALSE)</f>
        <v>200</v>
      </c>
      <c r="K69" s="14" t="str">
        <f>VLOOKUP(F69,Data_Lookup!$C$15:$H$25,6,FALSE)</f>
        <v>ml</v>
      </c>
      <c r="L69" s="31">
        <f>Data_Set_Raw!I68</f>
        <v>6.5</v>
      </c>
      <c r="M69" s="31">
        <f t="shared" si="0"/>
        <v>617.5</v>
      </c>
    </row>
    <row r="70" spans="2:13">
      <c r="B70" s="8">
        <f>VALUE(Data_Set_Raw!B69)</f>
        <v>23302</v>
      </c>
      <c r="C70" s="13" t="str">
        <f>PROPER(Data_Set_Raw!C69)</f>
        <v>Isaac Wolf</v>
      </c>
      <c r="D70" s="13" t="s">
        <v>360</v>
      </c>
      <c r="E70" s="14" t="str">
        <f>Data_Set_Raw!D69</f>
        <v>Panama</v>
      </c>
      <c r="F70" s="14" t="str">
        <f>IFERROR(VLOOKUP(Data_Set_Raw!E69,Data_Lookup!$C$15:$J$25,1,FALSE),VLOOKUP(Data_Set_Raw!E69,Data_Lookup!$D$15:$J$25,7,FALSE))</f>
        <v>PURA-500</v>
      </c>
      <c r="G70" s="14" t="str">
        <f>IFERROR(VLOOKUP(TRIM(Data_Set_Raw!$F69),Data_Lookup!$C$8:$D$10,2,FALSE),TRIM(Data_Set_Raw!F69))</f>
        <v>Online</v>
      </c>
      <c r="H70" s="30">
        <f>Data_Set_Raw!G69</f>
        <v>41854</v>
      </c>
      <c r="I70" s="14">
        <f>VALUE(Data_Set_Raw!H69)</f>
        <v>105</v>
      </c>
      <c r="J70" s="14">
        <f>VLOOKUP(F70,Data_Lookup!$C$15:$H$25,5,FALSE)</f>
        <v>500</v>
      </c>
      <c r="K70" s="14" t="str">
        <f>VLOOKUP(F70,Data_Lookup!$C$15:$H$25,6,FALSE)</f>
        <v>ml</v>
      </c>
      <c r="L70" s="31">
        <f>Data_Set_Raw!I69</f>
        <v>6.5</v>
      </c>
      <c r="M70" s="31">
        <f t="shared" si="0"/>
        <v>682.5</v>
      </c>
    </row>
    <row r="71" spans="2:13">
      <c r="B71" s="8">
        <f>VALUE(Data_Set_Raw!B70)</f>
        <v>23276</v>
      </c>
      <c r="C71" s="13" t="str">
        <f>PROPER(Data_Set_Raw!C70)</f>
        <v>Hayes Rollins</v>
      </c>
      <c r="D71" s="13" t="s">
        <v>361</v>
      </c>
      <c r="E71" s="14" t="str">
        <f>Data_Set_Raw!D70</f>
        <v>Nepal</v>
      </c>
      <c r="F71" s="14" t="str">
        <f>IFERROR(VLOOKUP(Data_Set_Raw!E70,Data_Lookup!$C$15:$J$25,1,FALSE),VLOOKUP(Data_Set_Raw!E70,Data_Lookup!$D$15:$J$25,7,FALSE))</f>
        <v>PURA-250</v>
      </c>
      <c r="G71" s="14" t="str">
        <f>IFERROR(VLOOKUP(TRIM(Data_Set_Raw!$F70),Data_Lookup!$C$8:$D$10,2,FALSE),TRIM(Data_Set_Raw!F70))</f>
        <v>Online</v>
      </c>
      <c r="H71" s="30">
        <f>Data_Set_Raw!G70</f>
        <v>41805</v>
      </c>
      <c r="I71" s="14">
        <f>VALUE(Data_Set_Raw!H70)</f>
        <v>65</v>
      </c>
      <c r="J71" s="14">
        <f>VLOOKUP(F71,Data_Lookup!$C$15:$H$25,5,FALSE)</f>
        <v>250</v>
      </c>
      <c r="K71" s="14" t="str">
        <f>VLOOKUP(F71,Data_Lookup!$C$15:$H$25,6,FALSE)</f>
        <v>ml</v>
      </c>
      <c r="L71" s="31">
        <f>Data_Set_Raw!I70</f>
        <v>6.5</v>
      </c>
      <c r="M71" s="31">
        <f t="shared" si="0"/>
        <v>422.5</v>
      </c>
    </row>
    <row r="72" spans="2:13">
      <c r="B72" s="8">
        <f>VALUE(Data_Set_Raw!B71)</f>
        <v>23372</v>
      </c>
      <c r="C72" s="13" t="str">
        <f>PROPER(Data_Set_Raw!C71)</f>
        <v>Phillip Perkins</v>
      </c>
      <c r="D72" s="13" t="s">
        <v>362</v>
      </c>
      <c r="E72" s="14" t="str">
        <f>Data_Set_Raw!D71</f>
        <v>Nigeria</v>
      </c>
      <c r="F72" s="14" t="str">
        <f>IFERROR(VLOOKUP(Data_Set_Raw!E71,Data_Lookup!$C$15:$J$25,1,FALSE),VLOOKUP(Data_Set_Raw!E71,Data_Lookup!$D$15:$J$25,7,FALSE))</f>
        <v>SUPA-500</v>
      </c>
      <c r="G72" s="14" t="str">
        <f>IFERROR(VLOOKUP(TRIM(Data_Set_Raw!$F71),Data_Lookup!$C$8:$D$10,2,FALSE),TRIM(Data_Set_Raw!F71))</f>
        <v>Online</v>
      </c>
      <c r="H72" s="30">
        <f>Data_Set_Raw!G71</f>
        <v>41840</v>
      </c>
      <c r="I72" s="14">
        <f>VALUE(Data_Set_Raw!H71)</f>
        <v>22</v>
      </c>
      <c r="J72" s="14">
        <f>VLOOKUP(F72,Data_Lookup!$C$15:$H$25,5,FALSE)</f>
        <v>500</v>
      </c>
      <c r="K72" s="14" t="str">
        <f>VLOOKUP(F72,Data_Lookup!$C$15:$H$25,6,FALSE)</f>
        <v>ml</v>
      </c>
      <c r="L72" s="31">
        <f>Data_Set_Raw!I71</f>
        <v>6.5</v>
      </c>
      <c r="M72" s="31">
        <f t="shared" si="0"/>
        <v>143</v>
      </c>
    </row>
    <row r="73" spans="2:13">
      <c r="B73" s="8">
        <f>VALUE(Data_Set_Raw!B72)</f>
        <v>23358</v>
      </c>
      <c r="C73" s="13" t="str">
        <f>PROPER(Data_Set_Raw!C72)</f>
        <v>Joel Rivers</v>
      </c>
      <c r="D73" s="13" t="s">
        <v>363</v>
      </c>
      <c r="E73" s="14" t="str">
        <f>Data_Set_Raw!D72</f>
        <v>Australia</v>
      </c>
      <c r="F73" s="14" t="str">
        <f>IFERROR(VLOOKUP(Data_Set_Raw!E72,Data_Lookup!$C$15:$J$25,1,FALSE),VLOOKUP(Data_Set_Raw!E72,Data_Lookup!$D$15:$J$25,7,FALSE))</f>
        <v>SUPA-250</v>
      </c>
      <c r="G73" s="14" t="str">
        <f>IFERROR(VLOOKUP(TRIM(Data_Set_Raw!$F72),Data_Lookup!$C$8:$D$10,2,FALSE),TRIM(Data_Set_Raw!F72))</f>
        <v>Retail</v>
      </c>
      <c r="H73" s="30">
        <f>Data_Set_Raw!G72</f>
        <v>41799</v>
      </c>
      <c r="I73" s="14">
        <f>VALUE(Data_Set_Raw!H72)</f>
        <v>41</v>
      </c>
      <c r="J73" s="14">
        <f>VLOOKUP(F73,Data_Lookup!$C$15:$H$25,5,FALSE)</f>
        <v>250</v>
      </c>
      <c r="K73" s="14" t="str">
        <f>VLOOKUP(F73,Data_Lookup!$C$15:$H$25,6,FALSE)</f>
        <v>ml</v>
      </c>
      <c r="L73" s="31">
        <f>Data_Set_Raw!I72</f>
        <v>9.99</v>
      </c>
      <c r="M73" s="31">
        <f t="shared" si="0"/>
        <v>409.59000000000003</v>
      </c>
    </row>
    <row r="74" spans="2:13">
      <c r="B74" s="8">
        <f>VALUE(Data_Set_Raw!B73)</f>
        <v>23288</v>
      </c>
      <c r="C74" s="13" t="str">
        <f>PROPER(Data_Set_Raw!C73)</f>
        <v>Ingrid Bush</v>
      </c>
      <c r="D74" s="13" t="s">
        <v>364</v>
      </c>
      <c r="E74" s="14" t="str">
        <f>Data_Set_Raw!D73</f>
        <v>Montserrat</v>
      </c>
      <c r="F74" s="14" t="str">
        <f>IFERROR(VLOOKUP(Data_Set_Raw!E73,Data_Lookup!$C$15:$J$25,1,FALSE),VLOOKUP(Data_Set_Raw!E73,Data_Lookup!$D$15:$J$25,7,FALSE))</f>
        <v>DETA-200</v>
      </c>
      <c r="G74" s="14" t="str">
        <f>IFERROR(VLOOKUP(TRIM(Data_Set_Raw!$F73),Data_Lookup!$C$8:$D$10,2,FALSE),TRIM(Data_Set_Raw!F73))</f>
        <v>Direct</v>
      </c>
      <c r="H74" s="30">
        <f>Data_Set_Raw!G73</f>
        <v>42609</v>
      </c>
      <c r="I74" s="14">
        <f>VALUE(Data_Set_Raw!H73)</f>
        <v>141</v>
      </c>
      <c r="J74" s="14">
        <f>VLOOKUP(F74,Data_Lookup!$C$15:$H$25,5,FALSE)</f>
        <v>200</v>
      </c>
      <c r="K74" s="14" t="str">
        <f>VLOOKUP(F74,Data_Lookup!$C$15:$H$25,6,FALSE)</f>
        <v>ml</v>
      </c>
      <c r="L74" s="31">
        <f>Data_Set_Raw!I73</f>
        <v>9.99</v>
      </c>
      <c r="M74" s="31">
        <f t="shared" ref="M74:M108" si="1">PRODUCT(I74,L74)</f>
        <v>1408.59</v>
      </c>
    </row>
    <row r="75" spans="2:13">
      <c r="B75" s="8">
        <f>VALUE(Data_Set_Raw!B74)</f>
        <v>23310</v>
      </c>
      <c r="C75" s="13" t="str">
        <f>PROPER(Data_Set_Raw!C74)</f>
        <v>Kenyon Joyce</v>
      </c>
      <c r="D75" s="13" t="s">
        <v>365</v>
      </c>
      <c r="E75" s="14" t="str">
        <f>Data_Set_Raw!D74</f>
        <v>Canada</v>
      </c>
      <c r="F75" s="14" t="str">
        <f>IFERROR(VLOOKUP(Data_Set_Raw!E74,Data_Lookup!$C$15:$J$25,1,FALSE),VLOOKUP(Data_Set_Raw!E74,Data_Lookup!$D$15:$J$25,7,FALSE))</f>
        <v>SUPA-500</v>
      </c>
      <c r="G75" s="14" t="str">
        <f>IFERROR(VLOOKUP(TRIM(Data_Set_Raw!$F74),Data_Lookup!$C$8:$D$10,2,FALSE),TRIM(Data_Set_Raw!F74))</f>
        <v>Online</v>
      </c>
      <c r="H75" s="30">
        <f>Data_Set_Raw!G74</f>
        <v>42194</v>
      </c>
      <c r="I75" s="14">
        <f>VALUE(Data_Set_Raw!H74)</f>
        <v>41</v>
      </c>
      <c r="J75" s="14">
        <f>VLOOKUP(F75,Data_Lookup!$C$15:$H$25,5,FALSE)</f>
        <v>500</v>
      </c>
      <c r="K75" s="14" t="str">
        <f>VLOOKUP(F75,Data_Lookup!$C$15:$H$25,6,FALSE)</f>
        <v>ml</v>
      </c>
      <c r="L75" s="31">
        <f>Data_Set_Raw!I74</f>
        <v>9.99</v>
      </c>
      <c r="M75" s="31">
        <f t="shared" si="1"/>
        <v>409.59000000000003</v>
      </c>
    </row>
    <row r="76" spans="2:13">
      <c r="B76" s="8">
        <f>VALUE(Data_Set_Raw!B75)</f>
        <v>23300</v>
      </c>
      <c r="C76" s="13" t="str">
        <f>PROPER(Data_Set_Raw!C75)</f>
        <v>Rhona Clarke</v>
      </c>
      <c r="D76" s="13" t="s">
        <v>366</v>
      </c>
      <c r="E76" s="14" t="str">
        <f>Data_Set_Raw!D75</f>
        <v>Zimbabwe</v>
      </c>
      <c r="F76" s="14" t="str">
        <f>IFERROR(VLOOKUP(Data_Set_Raw!E75,Data_Lookup!$C$15:$J$25,1,FALSE),VLOOKUP(Data_Set_Raw!E75,Data_Lookup!$D$15:$J$25,7,FALSE))</f>
        <v>PURA-500</v>
      </c>
      <c r="G76" s="14" t="str">
        <f>IFERROR(VLOOKUP(TRIM(Data_Set_Raw!$F75),Data_Lookup!$C$8:$D$10,2,FALSE),TRIM(Data_Set_Raw!F75))</f>
        <v>Online</v>
      </c>
      <c r="H76" s="30">
        <f>Data_Set_Raw!G75</f>
        <v>42181</v>
      </c>
      <c r="I76" s="14">
        <f>VALUE(Data_Set_Raw!H75)</f>
        <v>9.99</v>
      </c>
      <c r="J76" s="14">
        <f>VLOOKUP(F76,Data_Lookup!$C$15:$H$25,5,FALSE)</f>
        <v>500</v>
      </c>
      <c r="K76" s="14" t="str">
        <f>VLOOKUP(F76,Data_Lookup!$C$15:$H$25,6,FALSE)</f>
        <v>ml</v>
      </c>
      <c r="L76" s="31">
        <f>Data_Set_Raw!I75</f>
        <v>9.99</v>
      </c>
      <c r="M76" s="31">
        <f t="shared" si="1"/>
        <v>99.8001</v>
      </c>
    </row>
    <row r="77" spans="2:13">
      <c r="B77" s="8">
        <f>VALUE(Data_Set_Raw!B76)</f>
        <v>23346</v>
      </c>
      <c r="C77" s="13" t="str">
        <f>PROPER(Data_Set_Raw!C76)</f>
        <v>Aretha Patton</v>
      </c>
      <c r="D77" s="13" t="s">
        <v>367</v>
      </c>
      <c r="E77" s="14" t="str">
        <f>Data_Set_Raw!D76</f>
        <v>Bouvet Island</v>
      </c>
      <c r="F77" s="14" t="str">
        <f>IFERROR(VLOOKUP(Data_Set_Raw!E76,Data_Lookup!$C$15:$J$25,1,FALSE),VLOOKUP(Data_Set_Raw!E76,Data_Lookup!$D$15:$J$25,7,FALSE))</f>
        <v>PURA-250</v>
      </c>
      <c r="G77" s="14" t="str">
        <f>IFERROR(VLOOKUP(TRIM(Data_Set_Raw!$F76),Data_Lookup!$C$8:$D$10,2,FALSE),TRIM(Data_Set_Raw!F76))</f>
        <v>Online</v>
      </c>
      <c r="H77" s="30">
        <f>Data_Set_Raw!G76</f>
        <v>42202</v>
      </c>
      <c r="I77" s="14">
        <f>VALUE(Data_Set_Raw!H76)</f>
        <v>13</v>
      </c>
      <c r="J77" s="14">
        <f>VLOOKUP(F77,Data_Lookup!$C$15:$H$25,5,FALSE)</f>
        <v>250</v>
      </c>
      <c r="K77" s="14" t="str">
        <f>VLOOKUP(F77,Data_Lookup!$C$15:$H$25,6,FALSE)</f>
        <v>ml</v>
      </c>
      <c r="L77" s="31">
        <f>Data_Set_Raw!I76</f>
        <v>9.99</v>
      </c>
      <c r="M77" s="31">
        <f t="shared" si="1"/>
        <v>129.87</v>
      </c>
    </row>
    <row r="78" spans="2:13">
      <c r="B78" s="8">
        <f>VALUE(Data_Set_Raw!B77)</f>
        <v>23265</v>
      </c>
      <c r="C78" s="13" t="str">
        <f>PROPER(Data_Set_Raw!C77)</f>
        <v>Uriel Benton</v>
      </c>
      <c r="D78" s="13" t="s">
        <v>368</v>
      </c>
      <c r="E78" s="14" t="str">
        <f>Data_Set_Raw!D77</f>
        <v>South Africa</v>
      </c>
      <c r="F78" s="14" t="str">
        <f>IFERROR(VLOOKUP(Data_Set_Raw!E77,Data_Lookup!$C$15:$J$25,1,FALSE),VLOOKUP(Data_Set_Raw!E77,Data_Lookup!$D$15:$J$25,7,FALSE))</f>
        <v>SUPA-1000</v>
      </c>
      <c r="G78" s="14" t="str">
        <f>IFERROR(VLOOKUP(TRIM(Data_Set_Raw!$F77),Data_Lookup!$C$8:$D$10,2,FALSE),TRIM(Data_Set_Raw!F77))</f>
        <v>Retail</v>
      </c>
      <c r="H78" s="30">
        <f>Data_Set_Raw!G77</f>
        <v>42165</v>
      </c>
      <c r="I78" s="14">
        <f>VALUE(Data_Set_Raw!H77)</f>
        <v>14</v>
      </c>
      <c r="J78" s="14">
        <f>VLOOKUP(F78,Data_Lookup!$C$15:$H$25,5,FALSE)</f>
        <v>1000</v>
      </c>
      <c r="K78" s="14" t="str">
        <f>VLOOKUP(F78,Data_Lookup!$C$15:$H$25,6,FALSE)</f>
        <v>ml</v>
      </c>
      <c r="L78" s="31">
        <f>Data_Set_Raw!I77</f>
        <v>9.99</v>
      </c>
      <c r="M78" s="31">
        <f t="shared" si="1"/>
        <v>139.86000000000001</v>
      </c>
    </row>
    <row r="79" spans="2:13">
      <c r="B79" s="8">
        <f>VALUE(Data_Set_Raw!B78)</f>
        <v>23314</v>
      </c>
      <c r="C79" s="13" t="str">
        <f>PROPER(Data_Set_Raw!C78)</f>
        <v>Maxine Gentry</v>
      </c>
      <c r="D79" s="13" t="s">
        <v>369</v>
      </c>
      <c r="E79" s="14" t="str">
        <f>Data_Set_Raw!D78</f>
        <v>Panama</v>
      </c>
      <c r="F79" s="14" t="str">
        <f>IFERROR(VLOOKUP(Data_Set_Raw!E78,Data_Lookup!$C$15:$J$25,1,FALSE),VLOOKUP(Data_Set_Raw!E78,Data_Lookup!$D$15:$J$25,7,FALSE))</f>
        <v>DETA-200</v>
      </c>
      <c r="G79" s="14" t="str">
        <f>IFERROR(VLOOKUP(TRIM(Data_Set_Raw!$F78),Data_Lookup!$C$8:$D$10,2,FALSE),TRIM(Data_Set_Raw!F78))</f>
        <v>Retail</v>
      </c>
      <c r="H79" s="30">
        <f>Data_Set_Raw!G78</f>
        <v>42558</v>
      </c>
      <c r="I79" s="14">
        <f>VALUE(Data_Set_Raw!H78)</f>
        <v>95</v>
      </c>
      <c r="J79" s="14">
        <f>VLOOKUP(F79,Data_Lookup!$C$15:$H$25,5,FALSE)</f>
        <v>200</v>
      </c>
      <c r="K79" s="14" t="str">
        <f>VLOOKUP(F79,Data_Lookup!$C$15:$H$25,6,FALSE)</f>
        <v>ml</v>
      </c>
      <c r="L79" s="31">
        <f>Data_Set_Raw!I78</f>
        <v>9.99</v>
      </c>
      <c r="M79" s="31">
        <f t="shared" si="1"/>
        <v>949.05000000000007</v>
      </c>
    </row>
    <row r="80" spans="2:13">
      <c r="B80" s="8">
        <f>VALUE(Data_Set_Raw!B79)</f>
        <v>23273</v>
      </c>
      <c r="C80" s="13" t="str">
        <f>PROPER(Data_Set_Raw!C79)</f>
        <v>Isaac Cooper</v>
      </c>
      <c r="D80" s="13" t="s">
        <v>370</v>
      </c>
      <c r="E80" s="14" t="str">
        <f>Data_Set_Raw!D79</f>
        <v>Netherlands Antilles</v>
      </c>
      <c r="F80" s="14" t="str">
        <f>IFERROR(VLOOKUP(Data_Set_Raw!E79,Data_Lookup!$C$15:$J$25,1,FALSE),VLOOKUP(Data_Set_Raw!E79,Data_Lookup!$D$15:$J$25,7,FALSE))</f>
        <v>DETA-200</v>
      </c>
      <c r="G80" s="14" t="str">
        <f>IFERROR(VLOOKUP(TRIM(Data_Set_Raw!$F79),Data_Lookup!$C$8:$D$10,2,FALSE),TRIM(Data_Set_Raw!F79))</f>
        <v>Online</v>
      </c>
      <c r="H80" s="30">
        <f>Data_Set_Raw!G79</f>
        <v>42532</v>
      </c>
      <c r="I80" s="14">
        <f>VALUE(Data_Set_Raw!H79)</f>
        <v>22</v>
      </c>
      <c r="J80" s="14">
        <f>VLOOKUP(F80,Data_Lookup!$C$15:$H$25,5,FALSE)</f>
        <v>200</v>
      </c>
      <c r="K80" s="14" t="str">
        <f>VLOOKUP(F80,Data_Lookup!$C$15:$H$25,6,FALSE)</f>
        <v>ml</v>
      </c>
      <c r="L80" s="31">
        <f>Data_Set_Raw!I79</f>
        <v>9.99</v>
      </c>
      <c r="M80" s="31">
        <f t="shared" si="1"/>
        <v>219.78</v>
      </c>
    </row>
    <row r="81" spans="2:13">
      <c r="B81" s="8">
        <f>VALUE(Data_Set_Raw!B80)</f>
        <v>23324</v>
      </c>
      <c r="C81" s="13" t="str">
        <f>PROPER(Data_Set_Raw!C80)</f>
        <v>Noble Warner</v>
      </c>
      <c r="D81" s="13" t="s">
        <v>371</v>
      </c>
      <c r="E81" s="14" t="str">
        <f>Data_Set_Raw!D80</f>
        <v>Burkina Faso</v>
      </c>
      <c r="F81" s="14" t="str">
        <f>IFERROR(VLOOKUP(Data_Set_Raw!E80,Data_Lookup!$C$15:$J$25,1,FALSE),VLOOKUP(Data_Set_Raw!E80,Data_Lookup!$D$15:$J$25,7,FALSE))</f>
        <v>PURA-500</v>
      </c>
      <c r="G81" s="14" t="str">
        <f>IFERROR(VLOOKUP(TRIM(Data_Set_Raw!$F80),Data_Lookup!$C$8:$D$10,2,FALSE),TRIM(Data_Set_Raw!F80))</f>
        <v>Retail</v>
      </c>
      <c r="H81" s="30">
        <f>Data_Set_Raw!G80</f>
        <v>42522</v>
      </c>
      <c r="I81" s="14">
        <f>VALUE(Data_Set_Raw!H80)</f>
        <v>193</v>
      </c>
      <c r="J81" s="14">
        <f>VLOOKUP(F81,Data_Lookup!$C$15:$H$25,5,FALSE)</f>
        <v>500</v>
      </c>
      <c r="K81" s="14" t="str">
        <f>VLOOKUP(F81,Data_Lookup!$C$15:$H$25,6,FALSE)</f>
        <v>ml</v>
      </c>
      <c r="L81" s="31">
        <f>Data_Set_Raw!I80</f>
        <v>9.99</v>
      </c>
      <c r="M81" s="31">
        <f t="shared" si="1"/>
        <v>1928.07</v>
      </c>
    </row>
    <row r="82" spans="2:13">
      <c r="B82" s="8">
        <f>VALUE(Data_Set_Raw!B81)</f>
        <v>23343</v>
      </c>
      <c r="C82" s="13" t="str">
        <f>PROPER(Data_Set_Raw!C81)</f>
        <v>Josiah Yates</v>
      </c>
      <c r="D82" s="13" t="s">
        <v>372</v>
      </c>
      <c r="E82" s="14" t="str">
        <f>Data_Set_Raw!D81</f>
        <v>Bangladesh</v>
      </c>
      <c r="F82" s="14" t="str">
        <f>IFERROR(VLOOKUP(Data_Set_Raw!E81,Data_Lookup!$C$15:$J$25,1,FALSE),VLOOKUP(Data_Set_Raw!E81,Data_Lookup!$D$15:$J$25,7,FALSE))</f>
        <v>SUPA-2000</v>
      </c>
      <c r="G82" s="14" t="str">
        <f>IFERROR(VLOOKUP(TRIM(Data_Set_Raw!$F81),Data_Lookup!$C$8:$D$10,2,FALSE),TRIM(Data_Set_Raw!F81))</f>
        <v>Online</v>
      </c>
      <c r="H82" s="30">
        <f>Data_Set_Raw!G81</f>
        <v>41864</v>
      </c>
      <c r="I82" s="14">
        <f>VALUE(Data_Set_Raw!H81)</f>
        <v>42</v>
      </c>
      <c r="J82" s="14">
        <f>VLOOKUP(F82,Data_Lookup!$C$15:$H$25,5,FALSE)</f>
        <v>2000</v>
      </c>
      <c r="K82" s="14" t="str">
        <f>VLOOKUP(F82,Data_Lookup!$C$15:$H$25,6,FALSE)</f>
        <v>ml</v>
      </c>
      <c r="L82" s="31">
        <f>Data_Set_Raw!I81</f>
        <v>9.99</v>
      </c>
      <c r="M82" s="31">
        <f t="shared" si="1"/>
        <v>419.58</v>
      </c>
    </row>
    <row r="83" spans="2:13">
      <c r="B83" s="8">
        <f>VALUE(Data_Set_Raw!B82)</f>
        <v>23296</v>
      </c>
      <c r="C83" s="13" t="str">
        <f>PROPER(Data_Set_Raw!C82)</f>
        <v>India Gilbert</v>
      </c>
      <c r="D83" s="13" t="s">
        <v>323</v>
      </c>
      <c r="E83" s="14" t="str">
        <f>Data_Set_Raw!D82</f>
        <v>Denmark</v>
      </c>
      <c r="F83" s="14" t="str">
        <f>IFERROR(VLOOKUP(Data_Set_Raw!E82,Data_Lookup!$C$15:$J$25,1,FALSE),VLOOKUP(Data_Set_Raw!E82,Data_Lookup!$D$15:$J$25,7,FALSE))</f>
        <v>PURA-200</v>
      </c>
      <c r="G83" s="14" t="str">
        <f>IFERROR(VLOOKUP(TRIM(Data_Set_Raw!$F82),Data_Lookup!$C$8:$D$10,2,FALSE),TRIM(Data_Set_Raw!F82))</f>
        <v>Retail</v>
      </c>
      <c r="H83" s="30">
        <f>Data_Set_Raw!G82</f>
        <v>42566</v>
      </c>
      <c r="I83" s="14">
        <f>VALUE(Data_Set_Raw!H82)</f>
        <v>37</v>
      </c>
      <c r="J83" s="14">
        <f>VLOOKUP(F83,Data_Lookup!$C$15:$H$25,5,FALSE)</f>
        <v>200</v>
      </c>
      <c r="K83" s="14" t="str">
        <f>VLOOKUP(F83,Data_Lookup!$C$15:$H$25,6,FALSE)</f>
        <v>ml</v>
      </c>
      <c r="L83" s="31">
        <f>Data_Set_Raw!I82</f>
        <v>14.5</v>
      </c>
      <c r="M83" s="31">
        <f t="shared" si="1"/>
        <v>536.5</v>
      </c>
    </row>
    <row r="84" spans="2:13">
      <c r="B84" s="8">
        <f>VALUE(Data_Set_Raw!B83)</f>
        <v>23353</v>
      </c>
      <c r="C84" s="13" t="str">
        <f>PROPER(Data_Set_Raw!C83)</f>
        <v>Zahir Fields</v>
      </c>
      <c r="D84" s="13" t="s">
        <v>373</v>
      </c>
      <c r="E84" s="14" t="str">
        <f>Data_Set_Raw!D83</f>
        <v>Canada</v>
      </c>
      <c r="F84" s="14" t="str">
        <f>IFERROR(VLOOKUP(Data_Set_Raw!E83,Data_Lookup!$C$15:$J$25,1,FALSE),VLOOKUP(Data_Set_Raw!E83,Data_Lookup!$D$15:$J$25,7,FALSE))</f>
        <v>SUPA-500</v>
      </c>
      <c r="G84" s="14" t="str">
        <f>IFERROR(VLOOKUP(TRIM(Data_Set_Raw!$F83),Data_Lookup!$C$8:$D$10,2,FALSE),TRIM(Data_Set_Raw!F83))</f>
        <v>Direct</v>
      </c>
      <c r="H84" s="30">
        <f>Data_Set_Raw!G83</f>
        <v>42584</v>
      </c>
      <c r="I84" s="14">
        <f>VALUE(Data_Set_Raw!H83)</f>
        <v>168</v>
      </c>
      <c r="J84" s="14">
        <f>VLOOKUP(F84,Data_Lookup!$C$15:$H$25,5,FALSE)</f>
        <v>500</v>
      </c>
      <c r="K84" s="14" t="str">
        <f>VLOOKUP(F84,Data_Lookup!$C$15:$H$25,6,FALSE)</f>
        <v>ml</v>
      </c>
      <c r="L84" s="31">
        <f>Data_Set_Raw!I83</f>
        <v>14.5</v>
      </c>
      <c r="M84" s="31">
        <f t="shared" si="1"/>
        <v>2436</v>
      </c>
    </row>
    <row r="85" spans="2:13">
      <c r="B85" s="8">
        <f>VALUE(Data_Set_Raw!B84)</f>
        <v>23311</v>
      </c>
      <c r="C85" s="13" t="str">
        <f>PROPER(Data_Set_Raw!C84)</f>
        <v>Forrest Macdonald</v>
      </c>
      <c r="D85" s="13" t="s">
        <v>374</v>
      </c>
      <c r="E85" s="14" t="str">
        <f>Data_Set_Raw!D84</f>
        <v>New Caledonia</v>
      </c>
      <c r="F85" s="14" t="str">
        <f>IFERROR(VLOOKUP(Data_Set_Raw!E84,Data_Lookup!$C$15:$J$25,1,FALSE),VLOOKUP(Data_Set_Raw!E84,Data_Lookup!$D$15:$J$25,7,FALSE))</f>
        <v>SUPA-1000</v>
      </c>
      <c r="G85" s="14" t="str">
        <f>IFERROR(VLOOKUP(TRIM(Data_Set_Raw!$F84),Data_Lookup!$C$8:$D$10,2,FALSE),TRIM(Data_Set_Raw!F84))</f>
        <v>Retail</v>
      </c>
      <c r="H85" s="30">
        <f>Data_Set_Raw!G84</f>
        <v>42533</v>
      </c>
      <c r="I85" s="14">
        <f>VALUE(Data_Set_Raw!H84)</f>
        <v>18</v>
      </c>
      <c r="J85" s="14">
        <f>VLOOKUP(F85,Data_Lookup!$C$15:$H$25,5,FALSE)</f>
        <v>1000</v>
      </c>
      <c r="K85" s="14" t="str">
        <f>VLOOKUP(F85,Data_Lookup!$C$15:$H$25,6,FALSE)</f>
        <v>ml</v>
      </c>
      <c r="L85" s="31">
        <f>Data_Set_Raw!I84</f>
        <v>14.5</v>
      </c>
      <c r="M85" s="31">
        <f t="shared" si="1"/>
        <v>261</v>
      </c>
    </row>
    <row r="86" spans="2:13">
      <c r="B86" s="8">
        <f>VALUE(Data_Set_Raw!B85)</f>
        <v>23378</v>
      </c>
      <c r="C86" s="13" t="str">
        <f>PROPER(Data_Set_Raw!C85)</f>
        <v>Brynne Mcgowan</v>
      </c>
      <c r="D86" s="13" t="s">
        <v>375</v>
      </c>
      <c r="E86" s="14" t="str">
        <f>Data_Set_Raw!D85</f>
        <v>Finland</v>
      </c>
      <c r="F86" s="14" t="str">
        <f>IFERROR(VLOOKUP(Data_Set_Raw!E85,Data_Lookup!$C$15:$J$25,1,FALSE),VLOOKUP(Data_Set_Raw!E85,Data_Lookup!$D$15:$J$25,7,FALSE))</f>
        <v>PURA-250</v>
      </c>
      <c r="G86" s="14" t="str">
        <f>IFERROR(VLOOKUP(TRIM(Data_Set_Raw!$F85),Data_Lookup!$C$8:$D$10,2,FALSE),TRIM(Data_Set_Raw!F85))</f>
        <v>Online</v>
      </c>
      <c r="H86" s="30">
        <f>Data_Set_Raw!G85</f>
        <v>42240</v>
      </c>
      <c r="I86" s="14">
        <f>VALUE(Data_Set_Raw!H85)</f>
        <v>157</v>
      </c>
      <c r="J86" s="14">
        <f>VLOOKUP(F86,Data_Lookup!$C$15:$H$25,5,FALSE)</f>
        <v>250</v>
      </c>
      <c r="K86" s="14" t="str">
        <f>VLOOKUP(F86,Data_Lookup!$C$15:$H$25,6,FALSE)</f>
        <v>ml</v>
      </c>
      <c r="L86" s="31">
        <f>Data_Set_Raw!I85</f>
        <v>14.5</v>
      </c>
      <c r="M86" s="31">
        <f t="shared" si="1"/>
        <v>2276.5</v>
      </c>
    </row>
    <row r="87" spans="2:13">
      <c r="B87" s="8">
        <f>VALUE(Data_Set_Raw!B86)</f>
        <v>23283</v>
      </c>
      <c r="C87" s="13" t="str">
        <f>PROPER(Data_Set_Raw!C86)</f>
        <v>Lani Sweet</v>
      </c>
      <c r="D87" s="13" t="s">
        <v>376</v>
      </c>
      <c r="E87" s="14" t="str">
        <f>Data_Set_Raw!D86</f>
        <v>Vanuatu</v>
      </c>
      <c r="F87" s="14" t="str">
        <f>IFERROR(VLOOKUP(Data_Set_Raw!E86,Data_Lookup!$C$15:$J$25,1,FALSE),VLOOKUP(Data_Set_Raw!E86,Data_Lookup!$D$15:$J$25,7,FALSE))</f>
        <v>DETA-800</v>
      </c>
      <c r="G87" s="14" t="str">
        <f>IFERROR(VLOOKUP(TRIM(Data_Set_Raw!$F86),Data_Lookup!$C$8:$D$10,2,FALSE),TRIM(Data_Set_Raw!F86))</f>
        <v>Online</v>
      </c>
      <c r="H87" s="30">
        <f>Data_Set_Raw!G86</f>
        <v>42552</v>
      </c>
      <c r="I87" s="14">
        <f>VALUE(Data_Set_Raw!H86)</f>
        <v>142</v>
      </c>
      <c r="J87" s="14">
        <f>VLOOKUP(F87,Data_Lookup!$C$15:$H$25,5,FALSE)</f>
        <v>800</v>
      </c>
      <c r="K87" s="14" t="str">
        <f>VLOOKUP(F87,Data_Lookup!$C$15:$H$25,6,FALSE)</f>
        <v>ml</v>
      </c>
      <c r="L87" s="31">
        <f>Data_Set_Raw!I86</f>
        <v>14.5</v>
      </c>
      <c r="M87" s="31">
        <f t="shared" si="1"/>
        <v>2059</v>
      </c>
    </row>
    <row r="88" spans="2:13">
      <c r="B88" s="8">
        <f>VALUE(Data_Set_Raw!B87)</f>
        <v>23292</v>
      </c>
      <c r="C88" s="13" t="str">
        <f>PROPER(Data_Set_Raw!C87)</f>
        <v>Liberty Mcbride</v>
      </c>
      <c r="D88" s="13" t="s">
        <v>377</v>
      </c>
      <c r="E88" s="14" t="str">
        <f>Data_Set_Raw!D87</f>
        <v>Fiji</v>
      </c>
      <c r="F88" s="14" t="str">
        <f>IFERROR(VLOOKUP(Data_Set_Raw!E87,Data_Lookup!$C$15:$J$25,1,FALSE),VLOOKUP(Data_Set_Raw!E87,Data_Lookup!$D$15:$J$25,7,FALSE))</f>
        <v>SUPA-1000</v>
      </c>
      <c r="G88" s="14" t="str">
        <f>IFERROR(VLOOKUP(TRIM(Data_Set_Raw!$F87),Data_Lookup!$C$8:$D$10,2,FALSE),TRIM(Data_Set_Raw!F87))</f>
        <v>Online</v>
      </c>
      <c r="H88" s="30">
        <f>Data_Set_Raw!G87</f>
        <v>41881</v>
      </c>
      <c r="I88" s="14">
        <f>VALUE(Data_Set_Raw!H87)</f>
        <v>73</v>
      </c>
      <c r="J88" s="14">
        <f>VLOOKUP(F88,Data_Lookup!$C$15:$H$25,5,FALSE)</f>
        <v>1000</v>
      </c>
      <c r="K88" s="14" t="str">
        <f>VLOOKUP(F88,Data_Lookup!$C$15:$H$25,6,FALSE)</f>
        <v>ml</v>
      </c>
      <c r="L88" s="31">
        <f>Data_Set_Raw!I87</f>
        <v>14.5</v>
      </c>
      <c r="M88" s="31">
        <f t="shared" si="1"/>
        <v>1058.5</v>
      </c>
    </row>
    <row r="89" spans="2:13">
      <c r="B89" s="8">
        <f>VALUE(Data_Set_Raw!B88)</f>
        <v>23328</v>
      </c>
      <c r="C89" s="13" t="str">
        <f>PROPER(Data_Set_Raw!C88)</f>
        <v>Keaton Wolfe</v>
      </c>
      <c r="D89" s="13" t="s">
        <v>378</v>
      </c>
      <c r="E89" s="14" t="str">
        <f>Data_Set_Raw!D88</f>
        <v>French Southern Territories</v>
      </c>
      <c r="F89" s="14" t="str">
        <f>IFERROR(VLOOKUP(Data_Set_Raw!E88,Data_Lookup!$C$15:$J$25,1,FALSE),VLOOKUP(Data_Set_Raw!E88,Data_Lookup!$D$15:$J$25,7,FALSE))</f>
        <v>PURA-200</v>
      </c>
      <c r="G89" s="14" t="str">
        <f>IFERROR(VLOOKUP(TRIM(Data_Set_Raw!$F88),Data_Lookup!$C$8:$D$10,2,FALSE),TRIM(Data_Set_Raw!F88))</f>
        <v>Retail</v>
      </c>
      <c r="H89" s="30">
        <f>Data_Set_Raw!G88</f>
        <v>41791</v>
      </c>
      <c r="I89" s="14">
        <f>VALUE(Data_Set_Raw!H88)</f>
        <v>102</v>
      </c>
      <c r="J89" s="14">
        <f>VLOOKUP(F89,Data_Lookup!$C$15:$H$25,5,FALSE)</f>
        <v>200</v>
      </c>
      <c r="K89" s="14" t="str">
        <f>VLOOKUP(F89,Data_Lookup!$C$15:$H$25,6,FALSE)</f>
        <v>ml</v>
      </c>
      <c r="L89" s="31">
        <f>Data_Set_Raw!I88</f>
        <v>14.5</v>
      </c>
      <c r="M89" s="31">
        <f t="shared" si="1"/>
        <v>1479</v>
      </c>
    </row>
    <row r="90" spans="2:13">
      <c r="B90" s="8">
        <f>VALUE(Data_Set_Raw!B89)</f>
        <v>23289</v>
      </c>
      <c r="C90" s="13" t="str">
        <f>PROPER(Data_Set_Raw!C89)</f>
        <v>Deacon Craig</v>
      </c>
      <c r="D90" s="13" t="s">
        <v>379</v>
      </c>
      <c r="E90" s="14" t="str">
        <f>Data_Set_Raw!D89</f>
        <v>Mongolia</v>
      </c>
      <c r="F90" s="14" t="str">
        <f>IFERROR(VLOOKUP(Data_Set_Raw!E89,Data_Lookup!$C$15:$J$25,1,FALSE),VLOOKUP(Data_Set_Raw!E89,Data_Lookup!$D$15:$J$25,7,FALSE))</f>
        <v>DETA-800</v>
      </c>
      <c r="G90" s="14" t="str">
        <f>IFERROR(VLOOKUP(TRIM(Data_Set_Raw!$F89),Data_Lookup!$C$8:$D$10,2,FALSE),TRIM(Data_Set_Raw!F89))</f>
        <v>Retail</v>
      </c>
      <c r="H90" s="30">
        <f>Data_Set_Raw!G89</f>
        <v>41853</v>
      </c>
      <c r="I90" s="14">
        <f>VALUE(Data_Set_Raw!H89)</f>
        <v>166</v>
      </c>
      <c r="J90" s="14">
        <f>VLOOKUP(F90,Data_Lookup!$C$15:$H$25,5,FALSE)</f>
        <v>800</v>
      </c>
      <c r="K90" s="14" t="str">
        <f>VLOOKUP(F90,Data_Lookup!$C$15:$H$25,6,FALSE)</f>
        <v>ml</v>
      </c>
      <c r="L90" s="31">
        <f>Data_Set_Raw!I89</f>
        <v>14.5</v>
      </c>
      <c r="M90" s="31">
        <f t="shared" si="1"/>
        <v>2407</v>
      </c>
    </row>
    <row r="91" spans="2:13">
      <c r="B91" s="8">
        <f>VALUE(Data_Set_Raw!B90)</f>
        <v>23303</v>
      </c>
      <c r="C91" s="13" t="str">
        <f>PROPER(Data_Set_Raw!C90)</f>
        <v>Guinevere Key</v>
      </c>
      <c r="D91" s="13" t="s">
        <v>329</v>
      </c>
      <c r="E91" s="14" t="str">
        <f>Data_Set_Raw!D90</f>
        <v>Colombia</v>
      </c>
      <c r="F91" s="14" t="str">
        <f>IFERROR(VLOOKUP(Data_Set_Raw!E90,Data_Lookup!$C$15:$J$25,1,FALSE),VLOOKUP(Data_Set_Raw!E90,Data_Lookup!$D$15:$J$25,7,FALSE))</f>
        <v>DETA-800</v>
      </c>
      <c r="G91" s="14" t="str">
        <f>IFERROR(VLOOKUP(TRIM(Data_Set_Raw!$F90),Data_Lookup!$C$8:$D$10,2,FALSE),TRIM(Data_Set_Raw!F90))</f>
        <v>Retail</v>
      </c>
      <c r="H91" s="30">
        <f>Data_Set_Raw!G90</f>
        <v>41831</v>
      </c>
      <c r="I91" s="14">
        <f>VALUE(Data_Set_Raw!H90)</f>
        <v>176</v>
      </c>
      <c r="J91" s="14">
        <f>VLOOKUP(F91,Data_Lookup!$C$15:$H$25,5,FALSE)</f>
        <v>800</v>
      </c>
      <c r="K91" s="14" t="str">
        <f>VLOOKUP(F91,Data_Lookup!$C$15:$H$25,6,FALSE)</f>
        <v>ml</v>
      </c>
      <c r="L91" s="31">
        <f>Data_Set_Raw!I90</f>
        <v>14.5</v>
      </c>
      <c r="M91" s="31">
        <f t="shared" si="1"/>
        <v>2552</v>
      </c>
    </row>
    <row r="92" spans="2:13">
      <c r="B92" s="8">
        <f>VALUE(Data_Set_Raw!B91)</f>
        <v>23336</v>
      </c>
      <c r="C92" s="13" t="str">
        <f>PROPER(Data_Set_Raw!C91)</f>
        <v>Petra Mckenzie</v>
      </c>
      <c r="D92" s="13" t="s">
        <v>380</v>
      </c>
      <c r="E92" s="14" t="str">
        <f>Data_Set_Raw!D91</f>
        <v>Morocco</v>
      </c>
      <c r="F92" s="14" t="str">
        <f>IFERROR(VLOOKUP(Data_Set_Raw!E91,Data_Lookup!$C$15:$J$25,1,FALSE),VLOOKUP(Data_Set_Raw!E91,Data_Lookup!$D$15:$J$25,7,FALSE))</f>
        <v>PURA-250</v>
      </c>
      <c r="G92" s="14" t="str">
        <f>IFERROR(VLOOKUP(TRIM(Data_Set_Raw!$F91),Data_Lookup!$C$8:$D$10,2,FALSE),TRIM(Data_Set_Raw!F91))</f>
        <v>Retail</v>
      </c>
      <c r="H92" s="30">
        <f>Data_Set_Raw!G91</f>
        <v>42245</v>
      </c>
      <c r="I92" s="14">
        <f>VALUE(Data_Set_Raw!H91)</f>
        <v>7</v>
      </c>
      <c r="J92" s="14">
        <f>VLOOKUP(F92,Data_Lookup!$C$15:$H$25,5,FALSE)</f>
        <v>250</v>
      </c>
      <c r="K92" s="14" t="str">
        <f>VLOOKUP(F92,Data_Lookup!$C$15:$H$25,6,FALSE)</f>
        <v>ml</v>
      </c>
      <c r="L92" s="31">
        <f>Data_Set_Raw!I91</f>
        <v>4.5</v>
      </c>
      <c r="M92" s="31">
        <f t="shared" si="1"/>
        <v>31.5</v>
      </c>
    </row>
    <row r="93" spans="2:13">
      <c r="B93" s="8">
        <f>VALUE(Data_Set_Raw!B92)</f>
        <v>23280</v>
      </c>
      <c r="C93" s="13" t="str">
        <f>PROPER(Data_Set_Raw!C92)</f>
        <v>James Spencer</v>
      </c>
      <c r="D93" s="13" t="s">
        <v>381</v>
      </c>
      <c r="E93" s="14" t="str">
        <f>Data_Set_Raw!D92</f>
        <v>Burkina Faso</v>
      </c>
      <c r="F93" s="14" t="str">
        <f>IFERROR(VLOOKUP(Data_Set_Raw!E92,Data_Lookup!$C$15:$J$25,1,FALSE),VLOOKUP(Data_Set_Raw!E92,Data_Lookup!$D$15:$J$25,7,FALSE))</f>
        <v>PURA-500</v>
      </c>
      <c r="G93" s="14" t="str">
        <f>IFERROR(VLOOKUP(TRIM(Data_Set_Raw!$F92),Data_Lookup!$C$8:$D$10,2,FALSE),TRIM(Data_Set_Raw!F92))</f>
        <v>Online</v>
      </c>
      <c r="H93" s="30">
        <f>Data_Set_Raw!G92</f>
        <v>41810</v>
      </c>
      <c r="I93" s="14">
        <f>VALUE(Data_Set_Raw!H92)</f>
        <v>30</v>
      </c>
      <c r="J93" s="14">
        <f>VLOOKUP(F93,Data_Lookup!$C$15:$H$25,5,FALSE)</f>
        <v>500</v>
      </c>
      <c r="K93" s="14" t="str">
        <f>VLOOKUP(F93,Data_Lookup!$C$15:$H$25,6,FALSE)</f>
        <v>ml</v>
      </c>
      <c r="L93" s="31">
        <f>Data_Set_Raw!I92</f>
        <v>6.99</v>
      </c>
      <c r="M93" s="31">
        <f t="shared" si="1"/>
        <v>209.70000000000002</v>
      </c>
    </row>
    <row r="94" spans="2:13">
      <c r="B94" s="8">
        <f>VALUE(Data_Set_Raw!B93)</f>
        <v>23270</v>
      </c>
      <c r="C94" s="13" t="str">
        <f>PROPER(Data_Set_Raw!C93)</f>
        <v>Wanda Garza</v>
      </c>
      <c r="D94" s="13" t="s">
        <v>382</v>
      </c>
      <c r="E94" s="14" t="str">
        <f>Data_Set_Raw!D93</f>
        <v>Kyrgyzstan</v>
      </c>
      <c r="F94" s="14" t="str">
        <f>IFERROR(VLOOKUP(Data_Set_Raw!E93,Data_Lookup!$C$15:$J$25,1,FALSE),VLOOKUP(Data_Set_Raw!E93,Data_Lookup!$D$15:$J$25,7,FALSE))</f>
        <v>SUPA-1000</v>
      </c>
      <c r="G94" s="14" t="str">
        <f>IFERROR(VLOOKUP(TRIM(Data_Set_Raw!$F93),Data_Lookup!$C$8:$D$10,2,FALSE),TRIM(Data_Set_Raw!F93))</f>
        <v>Retail</v>
      </c>
      <c r="H94" s="30">
        <f>Data_Set_Raw!G93</f>
        <v>42211</v>
      </c>
      <c r="I94" s="14">
        <f>VALUE(Data_Set_Raw!H93)</f>
        <v>67</v>
      </c>
      <c r="J94" s="14">
        <f>VLOOKUP(F94,Data_Lookup!$C$15:$H$25,5,FALSE)</f>
        <v>1000</v>
      </c>
      <c r="K94" s="14" t="str">
        <f>VLOOKUP(F94,Data_Lookup!$C$15:$H$25,6,FALSE)</f>
        <v>ml</v>
      </c>
      <c r="L94" s="31">
        <f>Data_Set_Raw!I93</f>
        <v>6.99</v>
      </c>
      <c r="M94" s="31">
        <f t="shared" si="1"/>
        <v>468.33000000000004</v>
      </c>
    </row>
    <row r="95" spans="2:13">
      <c r="B95" s="8">
        <f>VALUE(Data_Set_Raw!B94)</f>
        <v>23360</v>
      </c>
      <c r="C95" s="13" t="str">
        <f>PROPER(Data_Set_Raw!C94)</f>
        <v>Barrett Mckinney</v>
      </c>
      <c r="D95" s="13" t="s">
        <v>383</v>
      </c>
      <c r="E95" s="14" t="str">
        <f>Data_Set_Raw!D94</f>
        <v>Syria</v>
      </c>
      <c r="F95" s="14" t="str">
        <f>IFERROR(VLOOKUP(Data_Set_Raw!E94,Data_Lookup!$C$15:$J$25,1,FALSE),VLOOKUP(Data_Set_Raw!E94,Data_Lookup!$D$15:$J$25,7,FALSE))</f>
        <v>SUPA-1000</v>
      </c>
      <c r="G95" s="14" t="str">
        <f>IFERROR(VLOOKUP(TRIM(Data_Set_Raw!$F94),Data_Lookup!$C$8:$D$10,2,FALSE),TRIM(Data_Set_Raw!F94))</f>
        <v>Online</v>
      </c>
      <c r="H95" s="30">
        <f>Data_Set_Raw!G94</f>
        <v>42530</v>
      </c>
      <c r="I95" s="14">
        <f>VALUE(Data_Set_Raw!H94)</f>
        <v>37</v>
      </c>
      <c r="J95" s="14">
        <f>VLOOKUP(F95,Data_Lookup!$C$15:$H$25,5,FALSE)</f>
        <v>1000</v>
      </c>
      <c r="K95" s="14" t="str">
        <f>VLOOKUP(F95,Data_Lookup!$C$15:$H$25,6,FALSE)</f>
        <v>ml</v>
      </c>
      <c r="L95" s="31">
        <f>Data_Set_Raw!I94</f>
        <v>6.99</v>
      </c>
      <c r="M95" s="31">
        <f t="shared" si="1"/>
        <v>258.63</v>
      </c>
    </row>
    <row r="96" spans="2:13">
      <c r="B96" s="8">
        <f>VALUE(Data_Set_Raw!B95)</f>
        <v>23375</v>
      </c>
      <c r="C96" s="13" t="str">
        <f>PROPER(Data_Set_Raw!C95)</f>
        <v>Brittany Burris</v>
      </c>
      <c r="D96" s="13" t="s">
        <v>384</v>
      </c>
      <c r="E96" s="14" t="str">
        <f>Data_Set_Raw!D95</f>
        <v>Palau</v>
      </c>
      <c r="F96" s="14" t="str">
        <f>IFERROR(VLOOKUP(Data_Set_Raw!E95,Data_Lookup!$C$15:$J$25,1,FALSE),VLOOKUP(Data_Set_Raw!E95,Data_Lookup!$D$15:$J$25,7,FALSE))</f>
        <v>DETA-800</v>
      </c>
      <c r="G96" s="14" t="str">
        <f>IFERROR(VLOOKUP(TRIM(Data_Set_Raw!$F95),Data_Lookup!$C$8:$D$10,2,FALSE),TRIM(Data_Set_Raw!F95))</f>
        <v>Retail</v>
      </c>
      <c r="H96" s="30">
        <f>Data_Set_Raw!G95</f>
        <v>42174</v>
      </c>
      <c r="I96" s="14">
        <f>VALUE(Data_Set_Raw!H95)</f>
        <v>5</v>
      </c>
      <c r="J96" s="14">
        <f>VLOOKUP(F96,Data_Lookup!$C$15:$H$25,5,FALSE)</f>
        <v>800</v>
      </c>
      <c r="K96" s="14" t="str">
        <f>VLOOKUP(F96,Data_Lookup!$C$15:$H$25,6,FALSE)</f>
        <v>ml</v>
      </c>
      <c r="L96" s="31">
        <f>Data_Set_Raw!I95</f>
        <v>6.99</v>
      </c>
      <c r="M96" s="31">
        <f t="shared" si="1"/>
        <v>34.950000000000003</v>
      </c>
    </row>
    <row r="97" spans="2:13">
      <c r="B97" s="8">
        <f>VALUE(Data_Set_Raw!B96)</f>
        <v>23337</v>
      </c>
      <c r="C97" s="13" t="str">
        <f>PROPER(Data_Set_Raw!C96)</f>
        <v>Bell Prince</v>
      </c>
      <c r="D97" s="13" t="s">
        <v>385</v>
      </c>
      <c r="E97" s="14" t="str">
        <f>Data_Set_Raw!D96</f>
        <v>Guinea</v>
      </c>
      <c r="F97" s="14" t="str">
        <f>IFERROR(VLOOKUP(Data_Set_Raw!E96,Data_Lookup!$C$15:$J$25,1,FALSE),VLOOKUP(Data_Set_Raw!E96,Data_Lookup!$D$15:$J$25,7,FALSE))</f>
        <v>PURA-200</v>
      </c>
      <c r="G97" s="14" t="str">
        <f>IFERROR(VLOOKUP(TRIM(Data_Set_Raw!$F96),Data_Lookup!$C$8:$D$10,2,FALSE),TRIM(Data_Set_Raw!F96))</f>
        <v>Retail</v>
      </c>
      <c r="H97" s="30">
        <f>Data_Set_Raw!G96</f>
        <v>42596</v>
      </c>
      <c r="I97" s="14">
        <f>VALUE(Data_Set_Raw!H96)</f>
        <v>82</v>
      </c>
      <c r="J97" s="14">
        <f>VLOOKUP(F97,Data_Lookup!$C$15:$H$25,5,FALSE)</f>
        <v>200</v>
      </c>
      <c r="K97" s="14" t="str">
        <f>VLOOKUP(F97,Data_Lookup!$C$15:$H$25,6,FALSE)</f>
        <v>ml</v>
      </c>
      <c r="L97" s="31">
        <f>Data_Set_Raw!I96</f>
        <v>6.99</v>
      </c>
      <c r="M97" s="31">
        <f t="shared" si="1"/>
        <v>573.18000000000006</v>
      </c>
    </row>
    <row r="98" spans="2:13">
      <c r="B98" s="8">
        <f>VALUE(Data_Set_Raw!B97)</f>
        <v>23301</v>
      </c>
      <c r="C98" s="13" t="str">
        <f>PROPER(Data_Set_Raw!C97)</f>
        <v>Maxwell Parker</v>
      </c>
      <c r="D98" s="13" t="s">
        <v>386</v>
      </c>
      <c r="E98" s="14" t="str">
        <f>Data_Set_Raw!D97</f>
        <v>Falkland Islands (Malvinas)</v>
      </c>
      <c r="F98" s="14" t="str">
        <f>IFERROR(VLOOKUP(Data_Set_Raw!E97,Data_Lookup!$C$15:$J$25,1,FALSE),VLOOKUP(Data_Set_Raw!E97,Data_Lookup!$D$15:$J$25,7,FALSE))</f>
        <v>SUPA-500</v>
      </c>
      <c r="G98" s="14" t="str">
        <f>IFERROR(VLOOKUP(TRIM(Data_Set_Raw!$F97),Data_Lookup!$C$8:$D$10,2,FALSE),TRIM(Data_Set_Raw!F97))</f>
        <v>Retail</v>
      </c>
      <c r="H98" s="30">
        <f>Data_Set_Raw!G97</f>
        <v>42205</v>
      </c>
      <c r="I98" s="14">
        <f>VALUE(Data_Set_Raw!H97)</f>
        <v>108</v>
      </c>
      <c r="J98" s="14">
        <f>VLOOKUP(F98,Data_Lookup!$C$15:$H$25,5,FALSE)</f>
        <v>500</v>
      </c>
      <c r="K98" s="14" t="str">
        <f>VLOOKUP(F98,Data_Lookup!$C$15:$H$25,6,FALSE)</f>
        <v>ml</v>
      </c>
      <c r="L98" s="31">
        <f>Data_Set_Raw!I97</f>
        <v>6.99</v>
      </c>
      <c r="M98" s="31">
        <f t="shared" si="1"/>
        <v>754.92000000000007</v>
      </c>
    </row>
    <row r="99" spans="2:13">
      <c r="B99" s="8">
        <f>VALUE(Data_Set_Raw!B98)</f>
        <v>23271</v>
      </c>
      <c r="C99" s="13" t="str">
        <f>PROPER(Data_Set_Raw!C98)</f>
        <v>Athena Fitzpatrick</v>
      </c>
      <c r="D99" s="13" t="s">
        <v>387</v>
      </c>
      <c r="E99" s="14" t="str">
        <f>Data_Set_Raw!D98</f>
        <v>REU</v>
      </c>
      <c r="F99" s="14" t="str">
        <f>IFERROR(VLOOKUP(Data_Set_Raw!E98,Data_Lookup!$C$15:$J$25,1,FALSE),VLOOKUP(Data_Set_Raw!E98,Data_Lookup!$D$15:$J$25,7,FALSE))</f>
        <v>SUPA-2000</v>
      </c>
      <c r="G99" s="14" t="str">
        <f>IFERROR(VLOOKUP(TRIM(Data_Set_Raw!$F98),Data_Lookup!$C$8:$D$10,2,FALSE),TRIM(Data_Set_Raw!F98))</f>
        <v>Retail</v>
      </c>
      <c r="H99" s="30">
        <f>Data_Set_Raw!G98</f>
        <v>41854</v>
      </c>
      <c r="I99" s="14">
        <f>VALUE(Data_Set_Raw!H98)</f>
        <v>125</v>
      </c>
      <c r="J99" s="14">
        <f>VLOOKUP(F99,Data_Lookup!$C$15:$H$25,5,FALSE)</f>
        <v>2000</v>
      </c>
      <c r="K99" s="14" t="str">
        <f>VLOOKUP(F99,Data_Lookup!$C$15:$H$25,6,FALSE)</f>
        <v>ml</v>
      </c>
      <c r="L99" s="31">
        <f>Data_Set_Raw!I98</f>
        <v>6.99</v>
      </c>
      <c r="M99" s="31">
        <f t="shared" si="1"/>
        <v>873.75</v>
      </c>
    </row>
    <row r="100" spans="2:13">
      <c r="B100" s="8">
        <f>VALUE(Data_Set_Raw!B99)</f>
        <v>23354</v>
      </c>
      <c r="C100" s="13" t="str">
        <f>PROPER(Data_Set_Raw!C99)</f>
        <v>Gwendolyn Mccarty</v>
      </c>
      <c r="D100" s="13" t="s">
        <v>388</v>
      </c>
      <c r="E100" s="14" t="str">
        <f>Data_Set_Raw!D99</f>
        <v>Madagascar</v>
      </c>
      <c r="F100" s="14" t="str">
        <f>IFERROR(VLOOKUP(Data_Set_Raw!E99,Data_Lookup!$C$15:$J$25,1,FALSE),VLOOKUP(Data_Set_Raw!E99,Data_Lookup!$D$15:$J$25,7,FALSE))</f>
        <v>PURA-100</v>
      </c>
      <c r="G100" s="14" t="str">
        <f>IFERROR(VLOOKUP(TRIM(Data_Set_Raw!$F99),Data_Lookup!$C$8:$D$10,2,FALSE),TRIM(Data_Set_Raw!F99))</f>
        <v>Online</v>
      </c>
      <c r="H100" s="30">
        <f>Data_Set_Raw!G99</f>
        <v>42557</v>
      </c>
      <c r="I100" s="14">
        <f>VALUE(Data_Set_Raw!H99)</f>
        <v>84</v>
      </c>
      <c r="J100" s="14">
        <f>VLOOKUP(F100,Data_Lookup!$C$15:$H$25,5,FALSE)</f>
        <v>100</v>
      </c>
      <c r="K100" s="14" t="str">
        <f>VLOOKUP(F100,Data_Lookup!$C$15:$H$25,6,FALSE)</f>
        <v>ml</v>
      </c>
      <c r="L100" s="31">
        <f>Data_Set_Raw!I99</f>
        <v>6.99</v>
      </c>
      <c r="M100" s="31">
        <f t="shared" si="1"/>
        <v>587.16</v>
      </c>
    </row>
    <row r="101" spans="2:13">
      <c r="B101" s="8">
        <f>VALUE(Data_Set_Raw!B100)</f>
        <v>23340</v>
      </c>
      <c r="C101" s="13" t="str">
        <f>PROPER(Data_Set_Raw!C100)</f>
        <v>Lael Gould</v>
      </c>
      <c r="D101" s="13" t="s">
        <v>389</v>
      </c>
      <c r="E101" s="14" t="str">
        <f>Data_Set_Raw!D100</f>
        <v>El Salvador</v>
      </c>
      <c r="F101" s="14" t="str">
        <f>IFERROR(VLOOKUP(Data_Set_Raw!E100,Data_Lookup!$C$15:$J$25,1,FALSE),VLOOKUP(Data_Set_Raw!E100,Data_Lookup!$D$15:$J$25,7,FALSE))</f>
        <v>DETA-800</v>
      </c>
      <c r="G101" s="14" t="str">
        <f>IFERROR(VLOOKUP(TRIM(Data_Set_Raw!$F100),Data_Lookup!$C$8:$D$10,2,FALSE),TRIM(Data_Set_Raw!F100))</f>
        <v>Online</v>
      </c>
      <c r="H101" s="30">
        <f>Data_Set_Raw!G100</f>
        <v>42581</v>
      </c>
      <c r="I101" s="14">
        <f>VALUE(Data_Set_Raw!H100)</f>
        <v>85</v>
      </c>
      <c r="J101" s="14">
        <f>VLOOKUP(F101,Data_Lookup!$C$15:$H$25,5,FALSE)</f>
        <v>800</v>
      </c>
      <c r="K101" s="14" t="str">
        <f>VLOOKUP(F101,Data_Lookup!$C$15:$H$25,6,FALSE)</f>
        <v>ml</v>
      </c>
      <c r="L101" s="31">
        <f>Data_Set_Raw!I100</f>
        <v>4.5</v>
      </c>
      <c r="M101" s="31">
        <f t="shared" si="1"/>
        <v>382.5</v>
      </c>
    </row>
    <row r="102" spans="2:13">
      <c r="B102" s="8">
        <f>VALUE(Data_Set_Raw!B101)</f>
        <v>23365</v>
      </c>
      <c r="C102" s="13" t="str">
        <f>PROPER(Data_Set_Raw!C101)</f>
        <v>Gwendolyn Walton</v>
      </c>
      <c r="D102" s="13" t="s">
        <v>390</v>
      </c>
      <c r="E102" s="14" t="str">
        <f>Data_Set_Raw!D101</f>
        <v>Cuba</v>
      </c>
      <c r="F102" s="14" t="str">
        <f>IFERROR(VLOOKUP(Data_Set_Raw!E101,Data_Lookup!$C$15:$J$25,1,FALSE),VLOOKUP(Data_Set_Raw!E101,Data_Lookup!$D$15:$J$25,7,FALSE))</f>
        <v>DETA-800</v>
      </c>
      <c r="G102" s="14" t="str">
        <f>IFERROR(VLOOKUP(TRIM(Data_Set_Raw!$F101),Data_Lookup!$C$8:$D$10,2,FALSE),TRIM(Data_Set_Raw!F101))</f>
        <v>Retail</v>
      </c>
      <c r="H102" s="30">
        <f>Data_Set_Raw!G101</f>
        <v>42227</v>
      </c>
      <c r="I102" s="14">
        <f>VALUE(Data_Set_Raw!H101)</f>
        <v>165</v>
      </c>
      <c r="J102" s="14">
        <f>VLOOKUP(F102,Data_Lookup!$C$15:$H$25,5,FALSE)</f>
        <v>800</v>
      </c>
      <c r="K102" s="14" t="str">
        <f>VLOOKUP(F102,Data_Lookup!$C$15:$H$25,6,FALSE)</f>
        <v>ml</v>
      </c>
      <c r="L102" s="31">
        <f>Data_Set_Raw!I101</f>
        <v>4.5</v>
      </c>
      <c r="M102" s="31">
        <f t="shared" si="1"/>
        <v>742.5</v>
      </c>
    </row>
    <row r="103" spans="2:13">
      <c r="B103" s="8">
        <f>VALUE(Data_Set_Raw!B102)</f>
        <v>23281</v>
      </c>
      <c r="C103" s="13" t="str">
        <f>PROPER(Data_Set_Raw!C102)</f>
        <v>Adria Kaufman</v>
      </c>
      <c r="D103" s="13" t="s">
        <v>391</v>
      </c>
      <c r="E103" s="14" t="str">
        <f>Data_Set_Raw!D102</f>
        <v>Bouvet Island</v>
      </c>
      <c r="F103" s="14" t="str">
        <f>IFERROR(VLOOKUP(Data_Set_Raw!E102,Data_Lookup!$C$15:$J$25,1,FALSE),VLOOKUP(Data_Set_Raw!E102,Data_Lookup!$D$15:$J$25,7,FALSE))</f>
        <v>PURA-100</v>
      </c>
      <c r="G103" s="14" t="str">
        <f>IFERROR(VLOOKUP(TRIM(Data_Set_Raw!$F102),Data_Lookup!$C$8:$D$10,2,FALSE),TRIM(Data_Set_Raw!F102))</f>
        <v>Retail</v>
      </c>
      <c r="H103" s="30">
        <f>Data_Set_Raw!G102</f>
        <v>41802</v>
      </c>
      <c r="I103" s="14">
        <f>VALUE(Data_Set_Raw!H102)</f>
        <v>134</v>
      </c>
      <c r="J103" s="14">
        <f>VLOOKUP(F103,Data_Lookup!$C$15:$H$25,5,FALSE)</f>
        <v>100</v>
      </c>
      <c r="K103" s="14" t="str">
        <f>VLOOKUP(F103,Data_Lookup!$C$15:$H$25,6,FALSE)</f>
        <v>ml</v>
      </c>
      <c r="L103" s="31">
        <f>Data_Set_Raw!I102</f>
        <v>4.5</v>
      </c>
      <c r="M103" s="31">
        <f t="shared" si="1"/>
        <v>603</v>
      </c>
    </row>
    <row r="104" spans="2:13">
      <c r="B104" s="8">
        <f>VALUE(Data_Set_Raw!B103)</f>
        <v>23285</v>
      </c>
      <c r="C104" s="13" t="str">
        <f>PROPER(Data_Set_Raw!C103)</f>
        <v>Leonard Cardenas</v>
      </c>
      <c r="D104" s="13" t="s">
        <v>392</v>
      </c>
      <c r="E104" s="14" t="str">
        <f>Data_Set_Raw!D103</f>
        <v>Madagascar</v>
      </c>
      <c r="F104" s="14" t="str">
        <f>IFERROR(VLOOKUP(Data_Set_Raw!E103,Data_Lookup!$C$15:$J$25,1,FALSE),VLOOKUP(Data_Set_Raw!E103,Data_Lookup!$D$15:$J$25,7,FALSE))</f>
        <v>DETA-100</v>
      </c>
      <c r="G104" s="14" t="str">
        <f>IFERROR(VLOOKUP(TRIM(Data_Set_Raw!$F103),Data_Lookup!$C$8:$D$10,2,FALSE),TRIM(Data_Set_Raw!F103))</f>
        <v>Retail</v>
      </c>
      <c r="H104" s="30">
        <f>Data_Set_Raw!G103</f>
        <v>41866</v>
      </c>
      <c r="I104" s="14">
        <f>VALUE(Data_Set_Raw!H103)</f>
        <v>9</v>
      </c>
      <c r="J104" s="14">
        <f>VLOOKUP(F104,Data_Lookup!$C$15:$H$25,5,FALSE)</f>
        <v>100</v>
      </c>
      <c r="K104" s="14" t="str">
        <f>VLOOKUP(F104,Data_Lookup!$C$15:$H$25,6,FALSE)</f>
        <v>ml</v>
      </c>
      <c r="L104" s="31">
        <f>Data_Set_Raw!I103</f>
        <v>4.5</v>
      </c>
      <c r="M104" s="31">
        <f t="shared" si="1"/>
        <v>40.5</v>
      </c>
    </row>
    <row r="105" spans="2:13">
      <c r="B105" s="8">
        <f>VALUE(Data_Set_Raw!B104)</f>
        <v>23326</v>
      </c>
      <c r="C105" s="13" t="str">
        <f>PROPER(Data_Set_Raw!C104)</f>
        <v>Katelyn Joseph</v>
      </c>
      <c r="D105" s="13" t="s">
        <v>393</v>
      </c>
      <c r="E105" s="14" t="str">
        <f>Data_Set_Raw!D104</f>
        <v>Slovenia</v>
      </c>
      <c r="F105" s="14" t="str">
        <f>IFERROR(VLOOKUP(Data_Set_Raw!E104,Data_Lookup!$C$15:$J$25,1,FALSE),VLOOKUP(Data_Set_Raw!E104,Data_Lookup!$D$15:$J$25,7,FALSE))</f>
        <v>SUPA-250</v>
      </c>
      <c r="G105" s="14" t="str">
        <f>IFERROR(VLOOKUP(TRIM(Data_Set_Raw!$F104),Data_Lookup!$C$8:$D$10,2,FALSE),TRIM(Data_Set_Raw!F104))</f>
        <v>Retail</v>
      </c>
      <c r="H105" s="30">
        <f>Data_Set_Raw!G104</f>
        <v>41858</v>
      </c>
      <c r="I105" s="14">
        <f>VALUE(Data_Set_Raw!H104)</f>
        <v>126</v>
      </c>
      <c r="J105" s="14">
        <f>VLOOKUP(F105,Data_Lookup!$C$15:$H$25,5,FALSE)</f>
        <v>250</v>
      </c>
      <c r="K105" s="14" t="str">
        <f>VLOOKUP(F105,Data_Lookup!$C$15:$H$25,6,FALSE)</f>
        <v>ml</v>
      </c>
      <c r="L105" s="31">
        <f>Data_Set_Raw!I104</f>
        <v>4.5</v>
      </c>
      <c r="M105" s="31">
        <f t="shared" si="1"/>
        <v>567</v>
      </c>
    </row>
    <row r="106" spans="2:13">
      <c r="B106" s="8">
        <f>VALUE(Data_Set_Raw!B105)</f>
        <v>23361</v>
      </c>
      <c r="C106" s="13" t="str">
        <f>PROPER(Data_Set_Raw!C105)</f>
        <v>Benedict Byrd</v>
      </c>
      <c r="D106" s="13" t="s">
        <v>394</v>
      </c>
      <c r="E106" s="14" t="str">
        <f>Data_Set_Raw!D105</f>
        <v>Mauritania</v>
      </c>
      <c r="F106" s="14" t="str">
        <f>IFERROR(VLOOKUP(Data_Set_Raw!E105,Data_Lookup!$C$15:$J$25,1,FALSE),VLOOKUP(Data_Set_Raw!E105,Data_Lookup!$D$15:$J$25,7,FALSE))</f>
        <v>PURA-100</v>
      </c>
      <c r="G106" s="14" t="str">
        <f>IFERROR(VLOOKUP(TRIM(Data_Set_Raw!$F105),Data_Lookup!$C$8:$D$10,2,FALSE),TRIM(Data_Set_Raw!F105))</f>
        <v>Online</v>
      </c>
      <c r="H106" s="30">
        <f>Data_Set_Raw!G105</f>
        <v>42522</v>
      </c>
      <c r="I106" s="14">
        <f>VALUE(Data_Set_Raw!H105)</f>
        <v>184</v>
      </c>
      <c r="J106" s="14">
        <f>VLOOKUP(F106,Data_Lookup!$C$15:$H$25,5,FALSE)</f>
        <v>100</v>
      </c>
      <c r="K106" s="14" t="str">
        <f>VLOOKUP(F106,Data_Lookup!$C$15:$H$25,6,FALSE)</f>
        <v>ml</v>
      </c>
      <c r="L106" s="31">
        <f>Data_Set_Raw!I105</f>
        <v>6.99</v>
      </c>
      <c r="M106" s="31">
        <f t="shared" si="1"/>
        <v>1286.1600000000001</v>
      </c>
    </row>
    <row r="107" spans="2:13">
      <c r="B107" s="8">
        <f>VALUE(Data_Set_Raw!B106)</f>
        <v>23376</v>
      </c>
      <c r="C107" s="13" t="str">
        <f>PROPER(Data_Set_Raw!C106)</f>
        <v>Imogene Bradshaw</v>
      </c>
      <c r="D107" s="13" t="s">
        <v>395</v>
      </c>
      <c r="E107" s="14" t="str">
        <f>Data_Set_Raw!D106</f>
        <v>Niger</v>
      </c>
      <c r="F107" s="14" t="str">
        <f>IFERROR(VLOOKUP(Data_Set_Raw!E106,Data_Lookup!$C$15:$J$25,1,FALSE),VLOOKUP(Data_Set_Raw!E106,Data_Lookup!$D$15:$J$25,7,FALSE))</f>
        <v>DETA-200</v>
      </c>
      <c r="G107" s="14" t="str">
        <f>IFERROR(VLOOKUP(TRIM(Data_Set_Raw!$F106),Data_Lookup!$C$8:$D$10,2,FALSE),TRIM(Data_Set_Raw!F106))</f>
        <v>Direct</v>
      </c>
      <c r="H107" s="30">
        <f>Data_Set_Raw!G106</f>
        <v>42185</v>
      </c>
      <c r="I107" s="14">
        <f>VALUE(Data_Set_Raw!H106)</f>
        <v>85</v>
      </c>
      <c r="J107" s="14">
        <f>VLOOKUP(F107,Data_Lookup!$C$15:$H$25,5,FALSE)</f>
        <v>200</v>
      </c>
      <c r="K107" s="14" t="str">
        <f>VLOOKUP(F107,Data_Lookup!$C$15:$H$25,6,FALSE)</f>
        <v>ml</v>
      </c>
      <c r="L107" s="31">
        <f>Data_Set_Raw!I106</f>
        <v>6.99</v>
      </c>
      <c r="M107" s="31">
        <f t="shared" si="1"/>
        <v>594.15</v>
      </c>
    </row>
    <row r="108" spans="2:13">
      <c r="B108" s="8">
        <f>VALUE(Data_Set_Raw!B107)</f>
        <v>23371</v>
      </c>
      <c r="C108" s="13" t="str">
        <f>PROPER(Data_Set_Raw!C107)</f>
        <v>Doris Williams</v>
      </c>
      <c r="D108" s="13" t="s">
        <v>396</v>
      </c>
      <c r="E108" s="14" t="str">
        <f>Data_Set_Raw!D107</f>
        <v>Trinidad and Tobago</v>
      </c>
      <c r="F108" s="14" t="str">
        <f>IFERROR(VLOOKUP(Data_Set_Raw!E107,Data_Lookup!$C$15:$J$25,1,FALSE),VLOOKUP(Data_Set_Raw!E107,Data_Lookup!$D$15:$J$25,7,FALSE))</f>
        <v>SUPA-1000</v>
      </c>
      <c r="G108" s="14" t="str">
        <f>IFERROR(VLOOKUP(TRIM(Data_Set_Raw!$F107),Data_Lookup!$C$8:$D$10,2,FALSE),TRIM(Data_Set_Raw!F107))</f>
        <v>Online</v>
      </c>
      <c r="H108" s="30">
        <f>Data_Set_Raw!G107</f>
        <v>42529</v>
      </c>
      <c r="I108" s="14">
        <f>VALUE(Data_Set_Raw!H107)</f>
        <v>204</v>
      </c>
      <c r="J108" s="14">
        <f>VLOOKUP(F108,Data_Lookup!$C$15:$H$25,5,FALSE)</f>
        <v>1000</v>
      </c>
      <c r="K108" s="14" t="str">
        <f>VLOOKUP(F108,Data_Lookup!$C$15:$H$25,6,FALSE)</f>
        <v>ml</v>
      </c>
      <c r="L108" s="31">
        <f>Data_Set_Raw!I107</f>
        <v>6.99</v>
      </c>
      <c r="M108" s="31">
        <f t="shared" si="1"/>
        <v>1425.96</v>
      </c>
    </row>
    <row r="109" spans="2:13">
      <c r="F109" s="14"/>
      <c r="G109" s="14">
        <f>IFERROR(VLOOKUP(Data_Set_Raw!F108,Data_Lookup!C108:D110,2,FALSE),Data_Set_Raw!F108)</f>
        <v>0</v>
      </c>
    </row>
  </sheetData>
  <autoFilter ref="B8:M108"/>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sent_to_answer_3">
                <anchor moveWithCells="1" sizeWithCells="1">
                  <from>
                    <xdr:col>4</xdr:col>
                    <xdr:colOff>2200275</xdr:colOff>
                    <xdr:row>2</xdr:row>
                    <xdr:rowOff>66675</xdr:rowOff>
                  </from>
                  <to>
                    <xdr:col>6</xdr:col>
                    <xdr:colOff>190500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39997558519241921"/>
  </sheetPr>
  <dimension ref="A1:K107"/>
  <sheetViews>
    <sheetView showGridLines="0" zoomScale="90" zoomScaleNormal="90" workbookViewId="0">
      <selection activeCell="F19" sqref="F19"/>
    </sheetView>
  </sheetViews>
  <sheetFormatPr defaultRowHeight="12"/>
  <cols>
    <col min="2" max="2" width="19.85546875" bestFit="1" customWidth="1"/>
    <col min="3" max="3" width="18.140625" customWidth="1"/>
    <col min="4" max="4" width="33.85546875" bestFit="1" customWidth="1"/>
    <col min="5" max="5" width="30.140625" bestFit="1" customWidth="1"/>
    <col min="6" max="6" width="20.42578125" bestFit="1" customWidth="1"/>
    <col min="7" max="7" width="15.42578125" bestFit="1" customWidth="1"/>
    <col min="8" max="8" width="13.140625" bestFit="1" customWidth="1"/>
    <col min="9" max="9" width="27.85546875" customWidth="1"/>
    <col min="10" max="10" width="2.5703125" customWidth="1"/>
    <col min="11" max="11" width="49" customWidth="1"/>
  </cols>
  <sheetData>
    <row r="1" spans="1:11" ht="12.75">
      <c r="A1" s="4" t="str">
        <f>'Cover Page'!A1</f>
        <v>Problem Solving With Excel</v>
      </c>
      <c r="I1" s="5"/>
      <c r="J1" s="5"/>
      <c r="K1" s="5"/>
    </row>
    <row r="2" spans="1:11" ht="12.75">
      <c r="A2" s="4" t="str">
        <f>'Cover Page'!A2</f>
        <v>Week 2</v>
      </c>
      <c r="I2" s="5"/>
      <c r="J2" s="5"/>
      <c r="K2" s="5"/>
    </row>
    <row r="3" spans="1:11" ht="12.75">
      <c r="A3" s="4" t="s">
        <v>298</v>
      </c>
      <c r="I3" s="5"/>
      <c r="J3" s="5"/>
      <c r="K3" s="5"/>
    </row>
    <row r="4" spans="1:11" ht="12.75">
      <c r="A4" s="4"/>
      <c r="I4" s="5"/>
      <c r="J4" s="5"/>
      <c r="K4" s="5"/>
    </row>
    <row r="6" spans="1:11" ht="12.75" thickBot="1"/>
    <row r="7" spans="1:11" ht="15.75">
      <c r="B7" s="7" t="s">
        <v>15</v>
      </c>
      <c r="C7" s="10" t="s">
        <v>216</v>
      </c>
      <c r="D7" s="11" t="s">
        <v>5</v>
      </c>
      <c r="E7" s="11" t="s">
        <v>16</v>
      </c>
      <c r="F7" s="11" t="s">
        <v>6</v>
      </c>
      <c r="G7" s="11" t="s">
        <v>17</v>
      </c>
      <c r="H7" s="11" t="s">
        <v>18</v>
      </c>
      <c r="I7" s="11" t="s">
        <v>9</v>
      </c>
    </row>
    <row r="8" spans="1:11">
      <c r="B8" s="8">
        <v>23320</v>
      </c>
      <c r="C8" s="13" t="s">
        <v>59</v>
      </c>
      <c r="D8" s="14" t="s">
        <v>234</v>
      </c>
      <c r="E8" s="14" t="s">
        <v>21</v>
      </c>
      <c r="F8" s="14" t="s">
        <v>58</v>
      </c>
      <c r="G8" s="14">
        <v>42531</v>
      </c>
      <c r="H8" s="14">
        <v>125</v>
      </c>
      <c r="I8" s="14">
        <v>6</v>
      </c>
    </row>
    <row r="9" spans="1:11">
      <c r="B9" s="8">
        <v>23325</v>
      </c>
      <c r="C9" s="13" t="s">
        <v>84</v>
      </c>
      <c r="D9" s="14" t="s">
        <v>235</v>
      </c>
      <c r="E9" s="14" t="s">
        <v>26</v>
      </c>
      <c r="F9" s="14" t="s">
        <v>86</v>
      </c>
      <c r="G9" s="14">
        <v>42563</v>
      </c>
      <c r="H9" s="14">
        <v>184</v>
      </c>
      <c r="I9" s="14">
        <v>6</v>
      </c>
    </row>
    <row r="10" spans="1:11">
      <c r="B10" s="8">
        <v>23307</v>
      </c>
      <c r="C10" s="13" t="s">
        <v>116</v>
      </c>
      <c r="D10" s="14" t="s">
        <v>236</v>
      </c>
      <c r="E10" s="14" t="s">
        <v>30</v>
      </c>
      <c r="F10" s="14" t="s">
        <v>22</v>
      </c>
      <c r="G10" s="14">
        <v>42565</v>
      </c>
      <c r="H10" s="14">
        <v>113</v>
      </c>
      <c r="I10" s="14">
        <v>6</v>
      </c>
    </row>
    <row r="11" spans="1:11">
      <c r="B11" s="8">
        <v>23352</v>
      </c>
      <c r="C11" s="13" t="s">
        <v>128</v>
      </c>
      <c r="D11" s="14" t="s">
        <v>237</v>
      </c>
      <c r="E11" s="14" t="s">
        <v>34</v>
      </c>
      <c r="F11" s="14" t="s">
        <v>63</v>
      </c>
      <c r="G11" s="14">
        <v>42240</v>
      </c>
      <c r="H11" s="14">
        <v>89</v>
      </c>
      <c r="I11" s="14">
        <v>6</v>
      </c>
    </row>
    <row r="12" spans="1:11">
      <c r="B12" s="8">
        <v>23339</v>
      </c>
      <c r="C12" s="13" t="s">
        <v>141</v>
      </c>
      <c r="D12" s="14" t="s">
        <v>238</v>
      </c>
      <c r="E12" s="14" t="s">
        <v>34</v>
      </c>
      <c r="F12" s="14" t="s">
        <v>35</v>
      </c>
      <c r="G12" s="14">
        <v>41833</v>
      </c>
      <c r="H12" s="14">
        <v>41</v>
      </c>
      <c r="I12" s="14">
        <v>6</v>
      </c>
    </row>
    <row r="13" spans="1:11">
      <c r="B13" s="8">
        <v>23268</v>
      </c>
      <c r="C13" s="13" t="s">
        <v>142</v>
      </c>
      <c r="D13" s="14" t="s">
        <v>239</v>
      </c>
      <c r="E13" s="14" t="s">
        <v>38</v>
      </c>
      <c r="F13" s="14" t="s">
        <v>63</v>
      </c>
      <c r="G13" s="14">
        <v>41796</v>
      </c>
      <c r="H13" s="14">
        <v>82</v>
      </c>
      <c r="I13" s="14">
        <v>6</v>
      </c>
    </row>
    <row r="14" spans="1:11">
      <c r="B14" s="8">
        <v>23357</v>
      </c>
      <c r="C14" s="13" t="s">
        <v>152</v>
      </c>
      <c r="D14" s="14" t="s">
        <v>240</v>
      </c>
      <c r="E14" s="14" t="s">
        <v>41</v>
      </c>
      <c r="F14" s="14" t="s">
        <v>22</v>
      </c>
      <c r="G14" s="14">
        <v>42182</v>
      </c>
      <c r="H14" s="14">
        <v>50</v>
      </c>
      <c r="I14" s="14">
        <v>6</v>
      </c>
    </row>
    <row r="15" spans="1:11">
      <c r="B15" s="8">
        <v>23282</v>
      </c>
      <c r="C15" s="13" t="s">
        <v>209</v>
      </c>
      <c r="D15" s="14" t="s">
        <v>210</v>
      </c>
      <c r="E15" s="14" t="s">
        <v>30</v>
      </c>
      <c r="F15" s="14" t="s">
        <v>22</v>
      </c>
      <c r="G15" s="14">
        <v>41804</v>
      </c>
      <c r="H15" s="14">
        <v>100</v>
      </c>
      <c r="I15" s="14">
        <v>6</v>
      </c>
    </row>
    <row r="16" spans="1:11">
      <c r="B16" s="8">
        <v>23306</v>
      </c>
      <c r="C16" s="13" t="s">
        <v>40</v>
      </c>
      <c r="D16" s="14" t="s">
        <v>241</v>
      </c>
      <c r="E16" s="14" t="s">
        <v>46</v>
      </c>
      <c r="F16" s="14" t="s">
        <v>63</v>
      </c>
      <c r="G16" s="14">
        <v>42198</v>
      </c>
      <c r="H16" s="14" t="s">
        <v>42</v>
      </c>
      <c r="I16" s="14">
        <v>6.5</v>
      </c>
    </row>
    <row r="17" spans="2:9">
      <c r="B17" s="8">
        <v>23263</v>
      </c>
      <c r="C17" s="13" t="s">
        <v>120</v>
      </c>
      <c r="D17" s="14" t="s">
        <v>121</v>
      </c>
      <c r="E17" s="14" t="s">
        <v>50</v>
      </c>
      <c r="F17" s="14" t="s">
        <v>35</v>
      </c>
      <c r="G17" s="14">
        <v>42545</v>
      </c>
      <c r="H17" s="14">
        <v>73</v>
      </c>
      <c r="I17" s="14">
        <v>6.5</v>
      </c>
    </row>
    <row r="18" spans="2:9">
      <c r="B18" s="8">
        <v>23318</v>
      </c>
      <c r="C18" s="13" t="s">
        <v>133</v>
      </c>
      <c r="D18" s="14" t="s">
        <v>242</v>
      </c>
      <c r="E18" s="14" t="s">
        <v>46</v>
      </c>
      <c r="F18" s="14" t="s">
        <v>135</v>
      </c>
      <c r="G18" s="14">
        <v>42233</v>
      </c>
      <c r="H18" s="14">
        <v>48</v>
      </c>
      <c r="I18" s="14">
        <v>6.5</v>
      </c>
    </row>
    <row r="19" spans="2:9">
      <c r="B19" s="8">
        <v>23349</v>
      </c>
      <c r="C19" s="13" t="s">
        <v>155</v>
      </c>
      <c r="D19" s="14" t="s">
        <v>243</v>
      </c>
      <c r="E19" s="14" t="s">
        <v>34</v>
      </c>
      <c r="F19" s="14" t="s">
        <v>68</v>
      </c>
      <c r="G19" s="14">
        <v>42596</v>
      </c>
      <c r="H19" s="14">
        <v>126</v>
      </c>
      <c r="I19" s="14">
        <v>6.5</v>
      </c>
    </row>
    <row r="20" spans="2:9">
      <c r="B20" s="8">
        <v>23373</v>
      </c>
      <c r="C20" s="13" t="s">
        <v>162</v>
      </c>
      <c r="D20" s="14" t="s">
        <v>215</v>
      </c>
      <c r="E20" s="14" t="s">
        <v>57</v>
      </c>
      <c r="F20" s="14" t="s">
        <v>63</v>
      </c>
      <c r="G20" s="14">
        <v>42199</v>
      </c>
      <c r="H20" s="14">
        <v>95</v>
      </c>
      <c r="I20" s="14">
        <v>6.5</v>
      </c>
    </row>
    <row r="21" spans="2:9">
      <c r="B21" s="8">
        <v>23272</v>
      </c>
      <c r="C21" s="13" t="s">
        <v>170</v>
      </c>
      <c r="D21" s="14" t="s">
        <v>171</v>
      </c>
      <c r="E21" s="14" t="s">
        <v>60</v>
      </c>
      <c r="F21" s="14" t="s">
        <v>151</v>
      </c>
      <c r="G21" s="14">
        <v>42589</v>
      </c>
      <c r="H21" s="14">
        <v>71</v>
      </c>
      <c r="I21" s="14">
        <v>6.5</v>
      </c>
    </row>
    <row r="22" spans="2:9">
      <c r="B22" s="8">
        <v>23327</v>
      </c>
      <c r="C22" s="13" t="s">
        <v>172</v>
      </c>
      <c r="D22" s="14" t="s">
        <v>244</v>
      </c>
      <c r="E22" s="14" t="s">
        <v>62</v>
      </c>
      <c r="F22" s="14" t="s">
        <v>223</v>
      </c>
      <c r="G22" s="14">
        <v>41873</v>
      </c>
      <c r="H22" s="14">
        <v>176</v>
      </c>
      <c r="I22" s="14">
        <v>6.5</v>
      </c>
    </row>
    <row r="23" spans="2:9">
      <c r="B23" s="8">
        <v>23344</v>
      </c>
      <c r="C23" s="13" t="s">
        <v>213</v>
      </c>
      <c r="D23" s="14" t="s">
        <v>245</v>
      </c>
      <c r="E23" s="14" t="s">
        <v>67</v>
      </c>
      <c r="F23" s="14" t="s">
        <v>217</v>
      </c>
      <c r="G23" s="14">
        <v>41871</v>
      </c>
      <c r="H23" s="14">
        <v>64</v>
      </c>
      <c r="I23" s="14">
        <v>6.5</v>
      </c>
    </row>
    <row r="24" spans="2:9">
      <c r="B24" s="8">
        <v>23294</v>
      </c>
      <c r="C24" s="13" t="s">
        <v>80</v>
      </c>
      <c r="D24" s="14" t="s">
        <v>81</v>
      </c>
      <c r="E24" s="14" t="s">
        <v>71</v>
      </c>
      <c r="F24" s="14" t="s">
        <v>39</v>
      </c>
      <c r="G24" s="14">
        <v>42199</v>
      </c>
      <c r="H24" s="14" t="s">
        <v>83</v>
      </c>
      <c r="I24" s="14">
        <v>9</v>
      </c>
    </row>
    <row r="25" spans="2:9">
      <c r="B25" s="8">
        <v>23350</v>
      </c>
      <c r="C25" s="13" t="s">
        <v>92</v>
      </c>
      <c r="D25" s="14" t="s">
        <v>93</v>
      </c>
      <c r="E25" s="14" t="s">
        <v>50</v>
      </c>
      <c r="F25" s="14" t="s">
        <v>63</v>
      </c>
      <c r="G25" s="14">
        <v>41798</v>
      </c>
      <c r="H25" s="14">
        <v>188</v>
      </c>
      <c r="I25" s="14">
        <v>9</v>
      </c>
    </row>
    <row r="26" spans="2:9">
      <c r="B26" s="8">
        <v>23347</v>
      </c>
      <c r="C26" s="13" t="s">
        <v>101</v>
      </c>
      <c r="D26" s="14" t="s">
        <v>246</v>
      </c>
      <c r="E26" s="14" t="s">
        <v>38</v>
      </c>
      <c r="F26" s="14" t="s">
        <v>63</v>
      </c>
      <c r="G26" s="14">
        <v>41872</v>
      </c>
      <c r="H26" s="14">
        <v>147</v>
      </c>
      <c r="I26" s="14">
        <v>9</v>
      </c>
    </row>
    <row r="27" spans="2:9">
      <c r="B27" s="8">
        <v>23364</v>
      </c>
      <c r="C27" s="13" t="s">
        <v>113</v>
      </c>
      <c r="D27" s="14" t="s">
        <v>114</v>
      </c>
      <c r="E27" s="14" t="s">
        <v>76</v>
      </c>
      <c r="F27" s="14" t="s">
        <v>63</v>
      </c>
      <c r="G27" s="14">
        <v>42207</v>
      </c>
      <c r="H27" s="14">
        <v>47</v>
      </c>
      <c r="I27" s="14">
        <v>9</v>
      </c>
    </row>
    <row r="28" spans="2:9">
      <c r="B28" s="8">
        <v>23275</v>
      </c>
      <c r="C28" s="13" t="s">
        <v>115</v>
      </c>
      <c r="D28" s="14" t="s">
        <v>247</v>
      </c>
      <c r="E28" s="14" t="s">
        <v>21</v>
      </c>
      <c r="F28" s="14" t="s">
        <v>222</v>
      </c>
      <c r="G28" s="14">
        <v>42225</v>
      </c>
      <c r="H28" s="14">
        <v>141</v>
      </c>
      <c r="I28" s="14">
        <v>9</v>
      </c>
    </row>
    <row r="29" spans="2:9">
      <c r="B29" s="8">
        <v>23286</v>
      </c>
      <c r="C29" s="13" t="s">
        <v>184</v>
      </c>
      <c r="D29" s="14" t="s">
        <v>248</v>
      </c>
      <c r="E29" s="14" t="s">
        <v>82</v>
      </c>
      <c r="F29" s="14" t="s">
        <v>220</v>
      </c>
      <c r="G29" s="14">
        <v>42156</v>
      </c>
      <c r="H29" s="14">
        <v>69</v>
      </c>
      <c r="I29" s="14">
        <v>9</v>
      </c>
    </row>
    <row r="30" spans="2:9">
      <c r="B30" s="8">
        <v>23290</v>
      </c>
      <c r="C30" s="13" t="s">
        <v>188</v>
      </c>
      <c r="D30" s="14" t="s">
        <v>249</v>
      </c>
      <c r="E30" s="14" t="s">
        <v>85</v>
      </c>
      <c r="F30" s="14" t="s">
        <v>35</v>
      </c>
      <c r="G30" s="14">
        <v>42567</v>
      </c>
      <c r="H30" s="14">
        <v>170</v>
      </c>
      <c r="I30" s="14">
        <v>9</v>
      </c>
    </row>
    <row r="31" spans="2:9">
      <c r="B31" s="8">
        <v>23297</v>
      </c>
      <c r="C31" s="13" t="s">
        <v>189</v>
      </c>
      <c r="D31" s="14" t="s">
        <v>190</v>
      </c>
      <c r="E31" s="14" t="s">
        <v>26</v>
      </c>
      <c r="F31" s="14" t="s">
        <v>35</v>
      </c>
      <c r="G31" s="14">
        <v>41793</v>
      </c>
      <c r="H31" s="14">
        <v>135</v>
      </c>
      <c r="I31" s="14">
        <v>9</v>
      </c>
    </row>
    <row r="32" spans="2:9">
      <c r="B32" s="8">
        <v>23335</v>
      </c>
      <c r="C32" s="13" t="s">
        <v>197</v>
      </c>
      <c r="D32" s="14" t="s">
        <v>250</v>
      </c>
      <c r="E32" s="14" t="s">
        <v>46</v>
      </c>
      <c r="F32" s="14" t="s">
        <v>219</v>
      </c>
      <c r="G32" s="14">
        <v>42177</v>
      </c>
      <c r="H32" s="14">
        <v>116</v>
      </c>
      <c r="I32" s="14">
        <v>9</v>
      </c>
    </row>
    <row r="33" spans="2:9">
      <c r="B33" s="8">
        <v>23264</v>
      </c>
      <c r="C33" s="13" t="s">
        <v>204</v>
      </c>
      <c r="D33" s="14" t="s">
        <v>205</v>
      </c>
      <c r="E33" s="14" t="s">
        <v>67</v>
      </c>
      <c r="F33" s="14" t="s">
        <v>63</v>
      </c>
      <c r="G33" s="14">
        <v>41795</v>
      </c>
      <c r="H33" s="14">
        <v>205</v>
      </c>
      <c r="I33" s="14">
        <v>9</v>
      </c>
    </row>
    <row r="34" spans="2:9">
      <c r="B34" s="8">
        <v>23291</v>
      </c>
      <c r="C34" s="13" t="s">
        <v>206</v>
      </c>
      <c r="D34" s="14" t="s">
        <v>251</v>
      </c>
      <c r="E34" s="14" t="s">
        <v>82</v>
      </c>
      <c r="F34" s="14" t="s">
        <v>22</v>
      </c>
      <c r="G34" s="14">
        <v>41854</v>
      </c>
      <c r="H34" s="14">
        <v>199</v>
      </c>
      <c r="I34" s="14">
        <v>9</v>
      </c>
    </row>
    <row r="35" spans="2:9">
      <c r="B35" s="8" t="s">
        <v>27</v>
      </c>
      <c r="C35" s="13" t="s">
        <v>28</v>
      </c>
      <c r="D35" s="14" t="s">
        <v>29</v>
      </c>
      <c r="E35" s="14" t="s">
        <v>21</v>
      </c>
      <c r="F35" s="14" t="s">
        <v>217</v>
      </c>
      <c r="G35" s="14">
        <v>42181</v>
      </c>
      <c r="H35" s="14" t="s">
        <v>31</v>
      </c>
      <c r="I35" s="14">
        <v>3</v>
      </c>
    </row>
    <row r="36" spans="2:9">
      <c r="B36" s="8">
        <v>23322</v>
      </c>
      <c r="C36" s="13" t="s">
        <v>43</v>
      </c>
      <c r="D36" s="14" t="s">
        <v>44</v>
      </c>
      <c r="E36" s="14" t="s">
        <v>76</v>
      </c>
      <c r="F36" s="14" t="s">
        <v>39</v>
      </c>
      <c r="G36" s="14">
        <v>41874</v>
      </c>
      <c r="H36" s="14">
        <v>20</v>
      </c>
      <c r="I36" s="14">
        <v>3</v>
      </c>
    </row>
    <row r="37" spans="2:9">
      <c r="B37" s="8">
        <v>23279</v>
      </c>
      <c r="C37" s="13" t="s">
        <v>75</v>
      </c>
      <c r="D37" s="14" t="s">
        <v>238</v>
      </c>
      <c r="E37" s="14" t="s">
        <v>71</v>
      </c>
      <c r="F37" s="14" t="s">
        <v>35</v>
      </c>
      <c r="G37" s="14">
        <v>42160</v>
      </c>
      <c r="H37" s="14">
        <v>10</v>
      </c>
      <c r="I37" s="14">
        <v>3</v>
      </c>
    </row>
    <row r="38" spans="2:9">
      <c r="B38" s="8">
        <v>23341</v>
      </c>
      <c r="C38" s="13" t="s">
        <v>95</v>
      </c>
      <c r="D38" s="14" t="s">
        <v>96</v>
      </c>
      <c r="E38" s="14" t="s">
        <v>26</v>
      </c>
      <c r="F38" s="14" t="s">
        <v>22</v>
      </c>
      <c r="G38" s="14">
        <v>42603</v>
      </c>
      <c r="H38" s="14">
        <v>77</v>
      </c>
      <c r="I38" s="14">
        <v>3</v>
      </c>
    </row>
    <row r="39" spans="2:9">
      <c r="B39" s="8">
        <v>23370</v>
      </c>
      <c r="C39" s="13" t="s">
        <v>103</v>
      </c>
      <c r="D39" s="14" t="s">
        <v>235</v>
      </c>
      <c r="E39" s="14" t="s">
        <v>102</v>
      </c>
      <c r="F39" s="14" t="s">
        <v>223</v>
      </c>
      <c r="G39" s="14">
        <v>42229</v>
      </c>
      <c r="H39" s="14">
        <v>63</v>
      </c>
      <c r="I39" s="14">
        <v>3</v>
      </c>
    </row>
    <row r="40" spans="2:9">
      <c r="B40" s="8">
        <v>23308</v>
      </c>
      <c r="C40" s="13" t="s">
        <v>131</v>
      </c>
      <c r="D40" s="14" t="s">
        <v>132</v>
      </c>
      <c r="E40" s="14" t="s">
        <v>30</v>
      </c>
      <c r="F40" s="14" t="s">
        <v>39</v>
      </c>
      <c r="G40" s="14">
        <v>42231</v>
      </c>
      <c r="H40" s="14">
        <v>112</v>
      </c>
      <c r="I40" s="14">
        <v>3</v>
      </c>
    </row>
    <row r="41" spans="2:9">
      <c r="B41" s="8">
        <v>23267</v>
      </c>
      <c r="C41" s="13" t="s">
        <v>138</v>
      </c>
      <c r="D41" s="14" t="s">
        <v>252</v>
      </c>
      <c r="E41" s="14" t="s">
        <v>34</v>
      </c>
      <c r="F41" s="14" t="s">
        <v>35</v>
      </c>
      <c r="G41" s="14">
        <v>42242</v>
      </c>
      <c r="H41" s="14">
        <v>129</v>
      </c>
      <c r="I41" s="14">
        <v>3</v>
      </c>
    </row>
    <row r="42" spans="2:9">
      <c r="B42" s="8">
        <v>23334</v>
      </c>
      <c r="C42" s="13" t="s">
        <v>203</v>
      </c>
      <c r="D42" s="14" t="s">
        <v>253</v>
      </c>
      <c r="E42" s="14" t="s">
        <v>107</v>
      </c>
      <c r="F42" s="14" t="s">
        <v>63</v>
      </c>
      <c r="G42" s="14">
        <v>42211</v>
      </c>
      <c r="H42" s="14">
        <v>14</v>
      </c>
      <c r="I42" s="14">
        <v>3</v>
      </c>
    </row>
    <row r="43" spans="2:9">
      <c r="B43" s="8">
        <v>23362</v>
      </c>
      <c r="C43" s="13" t="s">
        <v>207</v>
      </c>
      <c r="D43" s="14" t="s">
        <v>208</v>
      </c>
      <c r="E43" s="14" t="s">
        <v>110</v>
      </c>
      <c r="F43" s="14" t="s">
        <v>217</v>
      </c>
      <c r="G43" s="14">
        <v>42225</v>
      </c>
      <c r="H43" s="14">
        <v>179</v>
      </c>
      <c r="I43" s="14">
        <v>3</v>
      </c>
    </row>
    <row r="44" spans="2:9">
      <c r="B44" s="8">
        <v>23274</v>
      </c>
      <c r="C44" s="13" t="s">
        <v>212</v>
      </c>
      <c r="D44" s="14" t="s">
        <v>29</v>
      </c>
      <c r="E44" s="14" t="s">
        <v>38</v>
      </c>
      <c r="F44" s="14" t="s">
        <v>39</v>
      </c>
      <c r="G44" s="14">
        <v>42235</v>
      </c>
      <c r="H44" s="14">
        <v>153</v>
      </c>
      <c r="I44" s="14">
        <v>3</v>
      </c>
    </row>
    <row r="45" spans="2:9">
      <c r="B45" s="8">
        <v>23304</v>
      </c>
      <c r="C45" s="13" t="s">
        <v>19</v>
      </c>
      <c r="D45" s="14" t="s">
        <v>20</v>
      </c>
      <c r="E45" s="14" t="s">
        <v>102</v>
      </c>
      <c r="F45" s="14" t="s">
        <v>22</v>
      </c>
      <c r="G45" s="14">
        <v>42607</v>
      </c>
      <c r="H45" s="14" t="s">
        <v>23</v>
      </c>
      <c r="I45" s="14">
        <v>3.99</v>
      </c>
    </row>
    <row r="46" spans="2:9">
      <c r="B46" s="8">
        <v>23316</v>
      </c>
      <c r="C46" s="13" t="s">
        <v>24</v>
      </c>
      <c r="D46" s="14" t="s">
        <v>25</v>
      </c>
      <c r="E46" s="14" t="s">
        <v>102</v>
      </c>
      <c r="F46" s="14" t="s">
        <v>22</v>
      </c>
      <c r="G46" s="14">
        <v>42602</v>
      </c>
      <c r="H46" s="14">
        <v>137</v>
      </c>
      <c r="I46" s="14">
        <v>3.99</v>
      </c>
    </row>
    <row r="47" spans="2:9">
      <c r="B47" s="8">
        <v>23356</v>
      </c>
      <c r="C47" s="13" t="s">
        <v>77</v>
      </c>
      <c r="D47" s="14" t="s">
        <v>78</v>
      </c>
      <c r="E47" s="14" t="s">
        <v>60</v>
      </c>
      <c r="F47" s="14" t="s">
        <v>35</v>
      </c>
      <c r="G47" s="14">
        <v>42202</v>
      </c>
      <c r="H47" s="14" t="s">
        <v>79</v>
      </c>
      <c r="I47" s="14">
        <v>3.99</v>
      </c>
    </row>
    <row r="48" spans="2:9">
      <c r="B48" s="8">
        <v>23309</v>
      </c>
      <c r="C48" s="13" t="s">
        <v>87</v>
      </c>
      <c r="D48" s="14" t="s">
        <v>254</v>
      </c>
      <c r="E48" s="14" t="s">
        <v>119</v>
      </c>
      <c r="F48" s="14" t="s">
        <v>35</v>
      </c>
      <c r="G48" s="14">
        <v>42181</v>
      </c>
      <c r="H48" s="14">
        <v>201</v>
      </c>
      <c r="I48" s="14">
        <v>3.99</v>
      </c>
    </row>
    <row r="49" spans="2:9">
      <c r="B49" s="8">
        <v>23299</v>
      </c>
      <c r="C49" s="13" t="s">
        <v>94</v>
      </c>
      <c r="D49" s="14" t="s">
        <v>160</v>
      </c>
      <c r="E49" s="14" t="s">
        <v>41</v>
      </c>
      <c r="F49" s="14" t="s">
        <v>68</v>
      </c>
      <c r="G49" s="14">
        <v>42540</v>
      </c>
      <c r="H49" s="14">
        <v>104</v>
      </c>
      <c r="I49" s="14">
        <v>3.99</v>
      </c>
    </row>
    <row r="50" spans="2:9">
      <c r="B50" s="8">
        <v>23342</v>
      </c>
      <c r="C50" s="13" t="s">
        <v>99</v>
      </c>
      <c r="D50" s="14" t="s">
        <v>100</v>
      </c>
      <c r="E50" s="14" t="s">
        <v>21</v>
      </c>
      <c r="F50" s="14" t="s">
        <v>35</v>
      </c>
      <c r="G50" s="14">
        <v>41862</v>
      </c>
      <c r="H50" s="14">
        <v>122</v>
      </c>
      <c r="I50" s="14">
        <v>3.99</v>
      </c>
    </row>
    <row r="51" spans="2:9">
      <c r="B51" s="8">
        <v>23312</v>
      </c>
      <c r="C51" s="13" t="s">
        <v>122</v>
      </c>
      <c r="D51" s="14" t="s">
        <v>123</v>
      </c>
      <c r="E51" s="14" t="s">
        <v>57</v>
      </c>
      <c r="F51" s="14" t="s">
        <v>221</v>
      </c>
      <c r="G51" s="14">
        <v>41841</v>
      </c>
      <c r="H51" s="14">
        <v>28</v>
      </c>
      <c r="I51" s="14">
        <v>3.99</v>
      </c>
    </row>
    <row r="52" spans="2:9">
      <c r="B52" s="8">
        <v>23351</v>
      </c>
      <c r="C52" s="13" t="s">
        <v>178</v>
      </c>
      <c r="D52" s="14" t="s">
        <v>179</v>
      </c>
      <c r="E52" s="14" t="s">
        <v>34</v>
      </c>
      <c r="F52" s="14" t="s">
        <v>63</v>
      </c>
      <c r="G52" s="14">
        <v>42189</v>
      </c>
      <c r="H52" s="14">
        <v>151</v>
      </c>
      <c r="I52" s="14">
        <v>3.99</v>
      </c>
    </row>
    <row r="53" spans="2:9">
      <c r="B53" s="8">
        <v>23266</v>
      </c>
      <c r="C53" s="13" t="s">
        <v>186</v>
      </c>
      <c r="D53" s="14" t="s">
        <v>187</v>
      </c>
      <c r="E53" s="14" t="s">
        <v>85</v>
      </c>
      <c r="F53" s="14" t="s">
        <v>63</v>
      </c>
      <c r="G53" s="14">
        <v>41872</v>
      </c>
      <c r="H53" s="14">
        <v>170</v>
      </c>
      <c r="I53" s="14">
        <v>3.99</v>
      </c>
    </row>
    <row r="54" spans="2:9">
      <c r="B54" s="8">
        <v>23374</v>
      </c>
      <c r="C54" s="13" t="s">
        <v>198</v>
      </c>
      <c r="D54" s="14" t="s">
        <v>199</v>
      </c>
      <c r="E54" s="14" t="s">
        <v>130</v>
      </c>
      <c r="F54" s="14" t="s">
        <v>35</v>
      </c>
      <c r="G54" s="14">
        <v>42222</v>
      </c>
      <c r="H54" s="14">
        <v>57</v>
      </c>
      <c r="I54" s="14">
        <v>3.99</v>
      </c>
    </row>
    <row r="55" spans="2:9">
      <c r="B55" s="8">
        <v>23284</v>
      </c>
      <c r="C55" s="13" t="s">
        <v>65</v>
      </c>
      <c r="D55" s="14" t="s">
        <v>66</v>
      </c>
      <c r="E55" s="14" t="s">
        <v>76</v>
      </c>
      <c r="F55" s="14" t="s">
        <v>68</v>
      </c>
      <c r="G55" s="14">
        <v>42548</v>
      </c>
      <c r="H55" s="14">
        <v>135</v>
      </c>
      <c r="I55" s="14">
        <v>4.5</v>
      </c>
    </row>
    <row r="56" spans="2:9">
      <c r="B56" s="8">
        <v>23287</v>
      </c>
      <c r="C56" s="13" t="s">
        <v>69</v>
      </c>
      <c r="D56" s="14" t="s">
        <v>70</v>
      </c>
      <c r="E56" s="14" t="s">
        <v>134</v>
      </c>
      <c r="F56" s="14" t="s">
        <v>222</v>
      </c>
      <c r="G56" s="14">
        <v>41803</v>
      </c>
      <c r="H56" s="14">
        <v>189</v>
      </c>
      <c r="I56" s="14">
        <v>4.5</v>
      </c>
    </row>
    <row r="57" spans="2:9">
      <c r="B57" s="8">
        <v>23367</v>
      </c>
      <c r="C57" s="13" t="s">
        <v>91</v>
      </c>
      <c r="D57" s="14" t="s">
        <v>255</v>
      </c>
      <c r="E57" s="14" t="s">
        <v>119</v>
      </c>
      <c r="F57" s="14" t="s">
        <v>39</v>
      </c>
      <c r="G57" s="14">
        <v>42545</v>
      </c>
      <c r="H57" s="14">
        <v>10</v>
      </c>
      <c r="I57" s="14">
        <v>4.5</v>
      </c>
    </row>
    <row r="58" spans="2:9">
      <c r="B58" s="8">
        <v>23355</v>
      </c>
      <c r="C58" s="13" t="s">
        <v>97</v>
      </c>
      <c r="D58" s="14" t="s">
        <v>66</v>
      </c>
      <c r="E58" s="14" t="s">
        <v>76</v>
      </c>
      <c r="F58" s="14" t="s">
        <v>63</v>
      </c>
      <c r="G58" s="14">
        <v>42602</v>
      </c>
      <c r="H58" s="14" t="s">
        <v>98</v>
      </c>
      <c r="I58" s="14">
        <v>4.5</v>
      </c>
    </row>
    <row r="59" spans="2:9">
      <c r="B59" s="8">
        <v>23332</v>
      </c>
      <c r="C59" s="13" t="s">
        <v>139</v>
      </c>
      <c r="D59" s="14" t="s">
        <v>44</v>
      </c>
      <c r="E59" s="14" t="s">
        <v>71</v>
      </c>
      <c r="F59" s="14" t="s">
        <v>151</v>
      </c>
      <c r="G59" s="14">
        <v>42210</v>
      </c>
      <c r="H59" s="14" t="s">
        <v>140</v>
      </c>
      <c r="I59" s="14">
        <v>4.5</v>
      </c>
    </row>
    <row r="60" spans="2:9">
      <c r="B60" s="8">
        <v>23315</v>
      </c>
      <c r="C60" s="13" t="s">
        <v>143</v>
      </c>
      <c r="D60" s="14" t="s">
        <v>33</v>
      </c>
      <c r="E60" s="14" t="s">
        <v>60</v>
      </c>
      <c r="F60" s="14" t="s">
        <v>223</v>
      </c>
      <c r="G60" s="14">
        <v>41876</v>
      </c>
      <c r="H60" s="14">
        <v>109</v>
      </c>
      <c r="I60" s="14">
        <v>4.5</v>
      </c>
    </row>
    <row r="61" spans="2:9">
      <c r="B61" s="8" t="s">
        <v>148</v>
      </c>
      <c r="C61" s="13" t="s">
        <v>149</v>
      </c>
      <c r="D61" s="14" t="s">
        <v>150</v>
      </c>
      <c r="E61" s="14" t="s">
        <v>60</v>
      </c>
      <c r="F61" s="14" t="s">
        <v>151</v>
      </c>
      <c r="G61" s="14">
        <v>42592</v>
      </c>
      <c r="H61" s="14">
        <v>196</v>
      </c>
      <c r="I61" s="14">
        <v>4.5</v>
      </c>
    </row>
    <row r="62" spans="2:9">
      <c r="B62" s="8" t="s">
        <v>157</v>
      </c>
      <c r="C62" s="13" t="s">
        <v>158</v>
      </c>
      <c r="D62" s="14" t="s">
        <v>256</v>
      </c>
      <c r="E62" s="14" t="s">
        <v>67</v>
      </c>
      <c r="F62" s="14" t="s">
        <v>68</v>
      </c>
      <c r="G62" s="14">
        <v>42160</v>
      </c>
      <c r="H62" s="14">
        <v>203</v>
      </c>
      <c r="I62" s="14">
        <v>4.5</v>
      </c>
    </row>
    <row r="63" spans="2:9">
      <c r="B63" s="8">
        <v>23298</v>
      </c>
      <c r="C63" s="13" t="s">
        <v>167</v>
      </c>
      <c r="D63" s="14" t="s">
        <v>168</v>
      </c>
      <c r="E63" s="14" t="s">
        <v>119</v>
      </c>
      <c r="F63" s="14" t="s">
        <v>47</v>
      </c>
      <c r="G63" s="14">
        <v>42569</v>
      </c>
      <c r="H63" s="14">
        <v>12</v>
      </c>
      <c r="I63" s="14">
        <v>4.5</v>
      </c>
    </row>
    <row r="64" spans="2:9">
      <c r="B64" s="8">
        <v>23333</v>
      </c>
      <c r="C64" s="13" t="s">
        <v>183</v>
      </c>
      <c r="D64" s="14" t="s">
        <v>150</v>
      </c>
      <c r="E64" s="14" t="s">
        <v>38</v>
      </c>
      <c r="F64" s="14" t="s">
        <v>63</v>
      </c>
      <c r="G64" s="14">
        <v>41846</v>
      </c>
      <c r="H64" s="14">
        <v>106</v>
      </c>
      <c r="I64" s="14">
        <v>4.5</v>
      </c>
    </row>
    <row r="65" spans="2:9">
      <c r="B65" s="8">
        <v>23338</v>
      </c>
      <c r="C65" s="13" t="s">
        <v>191</v>
      </c>
      <c r="D65" s="14" t="s">
        <v>192</v>
      </c>
      <c r="E65" s="14" t="s">
        <v>71</v>
      </c>
      <c r="F65" s="14" t="s">
        <v>39</v>
      </c>
      <c r="G65" s="14">
        <v>41872</v>
      </c>
      <c r="H65" s="14">
        <v>178</v>
      </c>
      <c r="I65" s="14">
        <v>4.5</v>
      </c>
    </row>
    <row r="66" spans="2:9">
      <c r="B66" s="8">
        <v>23377</v>
      </c>
      <c r="C66" s="13" t="s">
        <v>61</v>
      </c>
      <c r="D66" s="14" t="s">
        <v>257</v>
      </c>
      <c r="E66" s="14" t="s">
        <v>85</v>
      </c>
      <c r="F66" s="14" t="s">
        <v>63</v>
      </c>
      <c r="G66" s="14">
        <v>41824</v>
      </c>
      <c r="H66" s="14" t="s">
        <v>64</v>
      </c>
      <c r="I66" s="14">
        <v>6.5</v>
      </c>
    </row>
    <row r="67" spans="2:9">
      <c r="B67" s="8">
        <v>23369</v>
      </c>
      <c r="C67" s="13" t="s">
        <v>108</v>
      </c>
      <c r="D67" s="14" t="s">
        <v>109</v>
      </c>
      <c r="E67" s="14" t="s">
        <v>34</v>
      </c>
      <c r="F67" s="14" t="s">
        <v>22</v>
      </c>
      <c r="G67" s="14">
        <v>42210</v>
      </c>
      <c r="H67" s="14">
        <v>77</v>
      </c>
      <c r="I67" s="14">
        <v>6.5</v>
      </c>
    </row>
    <row r="68" spans="2:9">
      <c r="B68" s="8">
        <v>23380</v>
      </c>
      <c r="C68" s="13" t="s">
        <v>156</v>
      </c>
      <c r="D68" s="14" t="s">
        <v>258</v>
      </c>
      <c r="E68" s="14" t="s">
        <v>134</v>
      </c>
      <c r="F68" s="14" t="s">
        <v>86</v>
      </c>
      <c r="G68" s="14">
        <v>42163</v>
      </c>
      <c r="H68" s="14">
        <v>95</v>
      </c>
      <c r="I68" s="14">
        <v>6.5</v>
      </c>
    </row>
    <row r="69" spans="2:9">
      <c r="B69" s="8">
        <v>23302</v>
      </c>
      <c r="C69" s="13" t="s">
        <v>166</v>
      </c>
      <c r="D69" s="14" t="s">
        <v>121</v>
      </c>
      <c r="E69" s="14" t="s">
        <v>62</v>
      </c>
      <c r="F69" s="14" t="s">
        <v>217</v>
      </c>
      <c r="G69" s="14">
        <v>41854</v>
      </c>
      <c r="H69" s="14">
        <v>105</v>
      </c>
      <c r="I69" s="14">
        <v>6.5</v>
      </c>
    </row>
    <row r="70" spans="2:9">
      <c r="B70" s="8">
        <v>23276</v>
      </c>
      <c r="C70" s="13" t="s">
        <v>173</v>
      </c>
      <c r="D70" s="14" t="s">
        <v>174</v>
      </c>
      <c r="E70" s="14" t="s">
        <v>67</v>
      </c>
      <c r="F70" s="14" t="s">
        <v>63</v>
      </c>
      <c r="G70" s="14">
        <v>41805</v>
      </c>
      <c r="H70" s="14" t="s">
        <v>175</v>
      </c>
      <c r="I70" s="14">
        <v>6.5</v>
      </c>
    </row>
    <row r="71" spans="2:9">
      <c r="B71" s="8">
        <v>23372</v>
      </c>
      <c r="C71" s="13" t="s">
        <v>193</v>
      </c>
      <c r="D71" s="14" t="s">
        <v>259</v>
      </c>
      <c r="E71" s="14" t="s">
        <v>130</v>
      </c>
      <c r="F71" s="14" t="s">
        <v>63</v>
      </c>
      <c r="G71" s="14">
        <v>41840</v>
      </c>
      <c r="H71" s="14">
        <v>22</v>
      </c>
      <c r="I71" s="14">
        <v>6.5</v>
      </c>
    </row>
    <row r="72" spans="2:9">
      <c r="B72" s="8">
        <v>23358</v>
      </c>
      <c r="C72" s="13" t="s">
        <v>48</v>
      </c>
      <c r="D72" s="14" t="s">
        <v>49</v>
      </c>
      <c r="E72" s="14" t="s">
        <v>119</v>
      </c>
      <c r="F72" s="14" t="s">
        <v>39</v>
      </c>
      <c r="G72" s="14">
        <v>41799</v>
      </c>
      <c r="H72" s="14">
        <v>41</v>
      </c>
      <c r="I72" s="14">
        <v>9.99</v>
      </c>
    </row>
    <row r="73" spans="2:9">
      <c r="B73" s="8">
        <v>23288</v>
      </c>
      <c r="C73" s="13" t="s">
        <v>55</v>
      </c>
      <c r="D73" s="14" t="s">
        <v>56</v>
      </c>
      <c r="E73" s="14" t="s">
        <v>134</v>
      </c>
      <c r="F73" s="14" t="s">
        <v>58</v>
      </c>
      <c r="G73" s="14">
        <v>42609</v>
      </c>
      <c r="H73" s="14">
        <v>141</v>
      </c>
      <c r="I73" s="14">
        <v>9.99</v>
      </c>
    </row>
    <row r="74" spans="2:9">
      <c r="B74" s="8">
        <v>23310</v>
      </c>
      <c r="C74" s="13" t="s">
        <v>72</v>
      </c>
      <c r="D74" s="14" t="s">
        <v>73</v>
      </c>
      <c r="E74" s="14" t="s">
        <v>34</v>
      </c>
      <c r="F74" s="14" t="s">
        <v>35</v>
      </c>
      <c r="G74" s="14">
        <v>42194</v>
      </c>
      <c r="H74" s="14">
        <v>41</v>
      </c>
      <c r="I74" s="14">
        <v>9.99</v>
      </c>
    </row>
    <row r="75" spans="2:9">
      <c r="B75" s="8">
        <v>23300</v>
      </c>
      <c r="C75" s="13" t="s">
        <v>124</v>
      </c>
      <c r="D75" s="14" t="s">
        <v>260</v>
      </c>
      <c r="E75" s="14" t="s">
        <v>110</v>
      </c>
      <c r="F75" s="14" t="s">
        <v>63</v>
      </c>
      <c r="G75" s="14">
        <v>42181</v>
      </c>
      <c r="H75" s="14" t="s">
        <v>125</v>
      </c>
      <c r="I75" s="14">
        <v>9.99</v>
      </c>
    </row>
    <row r="76" spans="2:9">
      <c r="B76" s="8">
        <v>23346</v>
      </c>
      <c r="C76" s="13" t="s">
        <v>169</v>
      </c>
      <c r="D76" s="14" t="s">
        <v>145</v>
      </c>
      <c r="E76" s="14" t="s">
        <v>71</v>
      </c>
      <c r="F76" s="14" t="s">
        <v>63</v>
      </c>
      <c r="G76" s="14">
        <v>42202</v>
      </c>
      <c r="H76" s="14">
        <v>13</v>
      </c>
      <c r="I76" s="14">
        <v>9.99</v>
      </c>
    </row>
    <row r="77" spans="2:9">
      <c r="B77" s="8">
        <v>23265</v>
      </c>
      <c r="C77" s="13" t="s">
        <v>181</v>
      </c>
      <c r="D77" s="14" t="s">
        <v>182</v>
      </c>
      <c r="E77" s="14" t="s">
        <v>50</v>
      </c>
      <c r="F77" s="14" t="s">
        <v>22</v>
      </c>
      <c r="G77" s="14">
        <v>42165</v>
      </c>
      <c r="H77" s="14">
        <v>14</v>
      </c>
      <c r="I77" s="14">
        <v>9.99</v>
      </c>
    </row>
    <row r="78" spans="2:9">
      <c r="B78" s="8">
        <v>23314</v>
      </c>
      <c r="C78" s="13" t="s">
        <v>185</v>
      </c>
      <c r="D78" s="14" t="s">
        <v>121</v>
      </c>
      <c r="E78" s="14" t="s">
        <v>134</v>
      </c>
      <c r="F78" s="14" t="s">
        <v>22</v>
      </c>
      <c r="G78" s="14">
        <v>42558</v>
      </c>
      <c r="H78" s="14">
        <v>95</v>
      </c>
      <c r="I78" s="14">
        <v>9.99</v>
      </c>
    </row>
    <row r="79" spans="2:9">
      <c r="B79" s="8">
        <v>23273</v>
      </c>
      <c r="C79" s="13" t="s">
        <v>194</v>
      </c>
      <c r="D79" s="14" t="s">
        <v>195</v>
      </c>
      <c r="E79" s="14" t="s">
        <v>41</v>
      </c>
      <c r="F79" s="14" t="s">
        <v>63</v>
      </c>
      <c r="G79" s="14">
        <v>42532</v>
      </c>
      <c r="H79" s="14">
        <v>22</v>
      </c>
      <c r="I79" s="14">
        <v>9.99</v>
      </c>
    </row>
    <row r="80" spans="2:9">
      <c r="B80" s="8">
        <v>23324</v>
      </c>
      <c r="C80" s="13" t="s">
        <v>196</v>
      </c>
      <c r="D80" s="14" t="s">
        <v>33</v>
      </c>
      <c r="E80" s="14" t="s">
        <v>62</v>
      </c>
      <c r="F80" s="14" t="s">
        <v>22</v>
      </c>
      <c r="G80" s="14">
        <v>42522</v>
      </c>
      <c r="H80" s="14">
        <v>193</v>
      </c>
      <c r="I80" s="14">
        <v>9.99</v>
      </c>
    </row>
    <row r="81" spans="2:9">
      <c r="B81" s="8">
        <v>23343</v>
      </c>
      <c r="C81" s="13" t="s">
        <v>214</v>
      </c>
      <c r="D81" s="14" t="s">
        <v>215</v>
      </c>
      <c r="E81" s="14" t="s">
        <v>38</v>
      </c>
      <c r="F81" s="14" t="s">
        <v>217</v>
      </c>
      <c r="G81" s="14">
        <v>41864</v>
      </c>
      <c r="H81" s="14">
        <v>42</v>
      </c>
      <c r="I81" s="14">
        <v>9.99</v>
      </c>
    </row>
    <row r="82" spans="2:9">
      <c r="B82" s="8">
        <v>23296</v>
      </c>
      <c r="C82" s="13" t="s">
        <v>37</v>
      </c>
      <c r="D82" s="14" t="s">
        <v>240</v>
      </c>
      <c r="E82" s="14" t="s">
        <v>21</v>
      </c>
      <c r="F82" s="14" t="s">
        <v>39</v>
      </c>
      <c r="G82" s="14">
        <v>42566</v>
      </c>
      <c r="H82" s="14">
        <v>37</v>
      </c>
      <c r="I82" s="14">
        <v>14.5</v>
      </c>
    </row>
    <row r="83" spans="2:9">
      <c r="B83" s="8">
        <v>23353</v>
      </c>
      <c r="C83" s="13" t="s">
        <v>45</v>
      </c>
      <c r="D83" s="14" t="s">
        <v>73</v>
      </c>
      <c r="E83" s="14" t="s">
        <v>34</v>
      </c>
      <c r="F83" s="14" t="s">
        <v>47</v>
      </c>
      <c r="G83" s="14">
        <v>42584</v>
      </c>
      <c r="H83" s="14">
        <v>168</v>
      </c>
      <c r="I83" s="14">
        <v>14.5</v>
      </c>
    </row>
    <row r="84" spans="2:9">
      <c r="B84" s="8">
        <v>23311</v>
      </c>
      <c r="C84" s="13" t="s">
        <v>51</v>
      </c>
      <c r="D84" s="14" t="s">
        <v>52</v>
      </c>
      <c r="E84" s="14" t="s">
        <v>57</v>
      </c>
      <c r="F84" s="14" t="s">
        <v>39</v>
      </c>
      <c r="G84" s="14">
        <v>42533</v>
      </c>
      <c r="H84" s="14">
        <v>18</v>
      </c>
      <c r="I84" s="14">
        <v>14.5</v>
      </c>
    </row>
    <row r="85" spans="2:9">
      <c r="B85" s="8">
        <v>23378</v>
      </c>
      <c r="C85" s="13" t="s">
        <v>74</v>
      </c>
      <c r="D85" s="14" t="s">
        <v>261</v>
      </c>
      <c r="E85" s="14" t="s">
        <v>67</v>
      </c>
      <c r="F85" s="14" t="s">
        <v>218</v>
      </c>
      <c r="G85" s="14">
        <v>42240</v>
      </c>
      <c r="H85" s="14">
        <v>157</v>
      </c>
      <c r="I85" s="14">
        <v>14.5</v>
      </c>
    </row>
    <row r="86" spans="2:9">
      <c r="B86" s="8">
        <v>23283</v>
      </c>
      <c r="C86" s="13" t="s">
        <v>88</v>
      </c>
      <c r="D86" s="14" t="s">
        <v>89</v>
      </c>
      <c r="E86" s="14" t="s">
        <v>82</v>
      </c>
      <c r="F86" s="14" t="s">
        <v>217</v>
      </c>
      <c r="G86" s="14">
        <v>42552</v>
      </c>
      <c r="H86" s="14" t="s">
        <v>90</v>
      </c>
      <c r="I86" s="14">
        <v>14.5</v>
      </c>
    </row>
    <row r="87" spans="2:9">
      <c r="B87" s="8">
        <v>23292</v>
      </c>
      <c r="C87" s="13" t="s">
        <v>111</v>
      </c>
      <c r="D87" s="14" t="s">
        <v>262</v>
      </c>
      <c r="E87" s="14" t="s">
        <v>50</v>
      </c>
      <c r="F87" s="14" t="s">
        <v>35</v>
      </c>
      <c r="G87" s="14">
        <v>41881</v>
      </c>
      <c r="H87" s="14" t="s">
        <v>112</v>
      </c>
      <c r="I87" s="14">
        <v>14.5</v>
      </c>
    </row>
    <row r="88" spans="2:9">
      <c r="B88" s="8">
        <v>23328</v>
      </c>
      <c r="C88" s="13" t="s">
        <v>146</v>
      </c>
      <c r="D88" s="14" t="s">
        <v>147</v>
      </c>
      <c r="E88" s="14" t="s">
        <v>21</v>
      </c>
      <c r="F88" s="14" t="s">
        <v>39</v>
      </c>
      <c r="G88" s="14">
        <v>41791</v>
      </c>
      <c r="H88" s="14">
        <v>102</v>
      </c>
      <c r="I88" s="14">
        <v>14.5</v>
      </c>
    </row>
    <row r="89" spans="2:9">
      <c r="B89" s="8">
        <v>23289</v>
      </c>
      <c r="C89" s="13" t="s">
        <v>176</v>
      </c>
      <c r="D89" s="14" t="s">
        <v>177</v>
      </c>
      <c r="E89" s="14" t="s">
        <v>102</v>
      </c>
      <c r="F89" s="14" t="s">
        <v>22</v>
      </c>
      <c r="G89" s="14">
        <v>41853</v>
      </c>
      <c r="H89" s="14">
        <v>166</v>
      </c>
      <c r="I89" s="14">
        <v>14.5</v>
      </c>
    </row>
    <row r="90" spans="2:9">
      <c r="B90" s="8">
        <v>23303</v>
      </c>
      <c r="C90" s="13" t="s">
        <v>202</v>
      </c>
      <c r="D90" s="14" t="s">
        <v>263</v>
      </c>
      <c r="E90" s="14" t="s">
        <v>102</v>
      </c>
      <c r="F90" s="14" t="s">
        <v>86</v>
      </c>
      <c r="G90" s="14">
        <v>41831</v>
      </c>
      <c r="H90" s="14">
        <v>176</v>
      </c>
      <c r="I90" s="14">
        <v>14.5</v>
      </c>
    </row>
    <row r="91" spans="2:9">
      <c r="B91" s="8">
        <v>23336</v>
      </c>
      <c r="C91" s="13" t="s">
        <v>106</v>
      </c>
      <c r="D91" s="14" t="s">
        <v>264</v>
      </c>
      <c r="E91" s="14" t="s">
        <v>67</v>
      </c>
      <c r="F91" s="14" t="s">
        <v>68</v>
      </c>
      <c r="G91" s="14">
        <v>42245</v>
      </c>
      <c r="H91" s="14">
        <v>7</v>
      </c>
      <c r="I91" s="14">
        <v>4.5</v>
      </c>
    </row>
    <row r="92" spans="2:9">
      <c r="B92" s="8">
        <v>23280</v>
      </c>
      <c r="C92" s="13" t="s">
        <v>32</v>
      </c>
      <c r="D92" s="14" t="s">
        <v>33</v>
      </c>
      <c r="E92" s="14" t="s">
        <v>62</v>
      </c>
      <c r="F92" s="14" t="s">
        <v>35</v>
      </c>
      <c r="G92" s="14">
        <v>41810</v>
      </c>
      <c r="H92" s="14">
        <v>30</v>
      </c>
      <c r="I92" s="14">
        <v>6.99</v>
      </c>
    </row>
    <row r="93" spans="2:9">
      <c r="B93" s="8">
        <v>23270</v>
      </c>
      <c r="C93" s="13" t="s">
        <v>36</v>
      </c>
      <c r="D93" s="14" t="s">
        <v>265</v>
      </c>
      <c r="E93" s="14" t="s">
        <v>50</v>
      </c>
      <c r="F93" s="14" t="s">
        <v>22</v>
      </c>
      <c r="G93" s="14">
        <v>42211</v>
      </c>
      <c r="H93" s="14">
        <v>67</v>
      </c>
      <c r="I93" s="14">
        <v>6.99</v>
      </c>
    </row>
    <row r="94" spans="2:9">
      <c r="B94" s="8">
        <v>23360</v>
      </c>
      <c r="C94" s="13" t="s">
        <v>53</v>
      </c>
      <c r="D94" s="14" t="s">
        <v>252</v>
      </c>
      <c r="E94" s="14" t="s">
        <v>57</v>
      </c>
      <c r="F94" s="14" t="s">
        <v>63</v>
      </c>
      <c r="G94" s="14">
        <v>42530</v>
      </c>
      <c r="H94" s="14" t="s">
        <v>54</v>
      </c>
      <c r="I94" s="14">
        <v>6.99</v>
      </c>
    </row>
    <row r="95" spans="2:9">
      <c r="B95" s="8">
        <v>23375</v>
      </c>
      <c r="C95" s="13" t="s">
        <v>104</v>
      </c>
      <c r="D95" s="14" t="s">
        <v>66</v>
      </c>
      <c r="E95" s="14" t="s">
        <v>102</v>
      </c>
      <c r="F95" s="14" t="s">
        <v>39</v>
      </c>
      <c r="G95" s="14">
        <v>42174</v>
      </c>
      <c r="H95" s="14" t="s">
        <v>105</v>
      </c>
      <c r="I95" s="14">
        <v>6.99</v>
      </c>
    </row>
    <row r="96" spans="2:9">
      <c r="B96" s="8">
        <v>23337</v>
      </c>
      <c r="C96" s="13" t="s">
        <v>126</v>
      </c>
      <c r="D96" s="14" t="s">
        <v>127</v>
      </c>
      <c r="E96" s="14" t="s">
        <v>21</v>
      </c>
      <c r="F96" s="14" t="s">
        <v>68</v>
      </c>
      <c r="G96" s="14">
        <v>42596</v>
      </c>
      <c r="H96" s="14">
        <v>82</v>
      </c>
      <c r="I96" s="14">
        <v>6.99</v>
      </c>
    </row>
    <row r="97" spans="2:9">
      <c r="B97" s="8">
        <v>23301</v>
      </c>
      <c r="C97" s="13" t="s">
        <v>153</v>
      </c>
      <c r="D97" s="14" t="s">
        <v>154</v>
      </c>
      <c r="E97" s="14" t="s">
        <v>130</v>
      </c>
      <c r="F97" s="14" t="s">
        <v>22</v>
      </c>
      <c r="G97" s="14">
        <v>42205</v>
      </c>
      <c r="H97" s="14">
        <v>108</v>
      </c>
      <c r="I97" s="14">
        <v>6.99</v>
      </c>
    </row>
    <row r="98" spans="2:9">
      <c r="B98" s="8">
        <v>23271</v>
      </c>
      <c r="C98" s="13" t="s">
        <v>163</v>
      </c>
      <c r="D98" s="14" t="s">
        <v>164</v>
      </c>
      <c r="E98" s="14" t="s">
        <v>46</v>
      </c>
      <c r="F98" s="14" t="s">
        <v>22</v>
      </c>
      <c r="G98" s="14">
        <v>41854</v>
      </c>
      <c r="H98" s="14" t="s">
        <v>165</v>
      </c>
      <c r="I98" s="14">
        <v>6.99</v>
      </c>
    </row>
    <row r="99" spans="2:9">
      <c r="B99" s="8">
        <v>23354</v>
      </c>
      <c r="C99" s="13" t="s">
        <v>180</v>
      </c>
      <c r="D99" s="14" t="s">
        <v>257</v>
      </c>
      <c r="E99" s="14" t="s">
        <v>30</v>
      </c>
      <c r="F99" s="14" t="s">
        <v>217</v>
      </c>
      <c r="G99" s="14">
        <v>42557</v>
      </c>
      <c r="H99" s="14">
        <v>84</v>
      </c>
      <c r="I99" s="14">
        <v>6.99</v>
      </c>
    </row>
    <row r="100" spans="2:9">
      <c r="B100" s="8">
        <v>23340</v>
      </c>
      <c r="C100" s="13" t="s">
        <v>117</v>
      </c>
      <c r="D100" s="14" t="s">
        <v>118</v>
      </c>
      <c r="E100" s="14" t="s">
        <v>102</v>
      </c>
      <c r="F100" s="14" t="s">
        <v>63</v>
      </c>
      <c r="G100" s="14">
        <v>42581</v>
      </c>
      <c r="H100" s="14">
        <v>85</v>
      </c>
      <c r="I100" s="14">
        <v>4.5</v>
      </c>
    </row>
    <row r="101" spans="2:9">
      <c r="B101" s="8">
        <v>23365</v>
      </c>
      <c r="C101" s="13" t="s">
        <v>136</v>
      </c>
      <c r="D101" s="14" t="s">
        <v>137</v>
      </c>
      <c r="E101" s="14" t="s">
        <v>82</v>
      </c>
      <c r="F101" s="14" t="s">
        <v>22</v>
      </c>
      <c r="G101" s="14">
        <v>42227</v>
      </c>
      <c r="H101" s="14">
        <v>165</v>
      </c>
      <c r="I101" s="14">
        <v>4.5</v>
      </c>
    </row>
    <row r="102" spans="2:9">
      <c r="B102" s="8">
        <v>23281</v>
      </c>
      <c r="C102" s="13" t="s">
        <v>144</v>
      </c>
      <c r="D102" s="14" t="s">
        <v>145</v>
      </c>
      <c r="E102" s="14" t="s">
        <v>30</v>
      </c>
      <c r="F102" s="14" t="s">
        <v>39</v>
      </c>
      <c r="G102" s="14">
        <v>41802</v>
      </c>
      <c r="H102" s="14">
        <v>134</v>
      </c>
      <c r="I102" s="14">
        <v>4.5</v>
      </c>
    </row>
    <row r="103" spans="2:9">
      <c r="B103" s="8">
        <v>23285</v>
      </c>
      <c r="C103" s="13" t="s">
        <v>161</v>
      </c>
      <c r="D103" s="14" t="s">
        <v>257</v>
      </c>
      <c r="E103" s="14" t="s">
        <v>85</v>
      </c>
      <c r="F103" s="14" t="s">
        <v>39</v>
      </c>
      <c r="G103" s="14">
        <v>41866</v>
      </c>
      <c r="H103" s="14">
        <v>9</v>
      </c>
      <c r="I103" s="14">
        <v>4.5</v>
      </c>
    </row>
    <row r="104" spans="2:9">
      <c r="B104" s="8">
        <v>23326</v>
      </c>
      <c r="C104" s="13" t="s">
        <v>211</v>
      </c>
      <c r="D104" s="14" t="s">
        <v>266</v>
      </c>
      <c r="E104" s="14" t="s">
        <v>119</v>
      </c>
      <c r="F104" s="14" t="s">
        <v>22</v>
      </c>
      <c r="G104" s="14">
        <v>41858</v>
      </c>
      <c r="H104" s="14">
        <v>126</v>
      </c>
      <c r="I104" s="14">
        <v>4.5</v>
      </c>
    </row>
    <row r="105" spans="2:9">
      <c r="B105" s="8">
        <v>23361</v>
      </c>
      <c r="C105" s="13" t="s">
        <v>129</v>
      </c>
      <c r="D105" s="14" t="s">
        <v>267</v>
      </c>
      <c r="E105" s="14" t="s">
        <v>30</v>
      </c>
      <c r="F105" s="14" t="s">
        <v>35</v>
      </c>
      <c r="G105" s="14">
        <v>42522</v>
      </c>
      <c r="H105" s="14">
        <v>184</v>
      </c>
      <c r="I105" s="14">
        <v>6.99</v>
      </c>
    </row>
    <row r="106" spans="2:9">
      <c r="B106" s="8">
        <v>23376</v>
      </c>
      <c r="C106" s="13" t="s">
        <v>159</v>
      </c>
      <c r="D106" s="14" t="s">
        <v>160</v>
      </c>
      <c r="E106" s="14" t="s">
        <v>134</v>
      </c>
      <c r="F106" s="14" t="s">
        <v>58</v>
      </c>
      <c r="G106" s="14">
        <v>42185</v>
      </c>
      <c r="H106" s="14">
        <v>85</v>
      </c>
      <c r="I106" s="14">
        <v>6.99</v>
      </c>
    </row>
    <row r="107" spans="2:9">
      <c r="B107" s="8">
        <v>23371</v>
      </c>
      <c r="C107" s="13" t="s">
        <v>200</v>
      </c>
      <c r="D107" s="14" t="s">
        <v>201</v>
      </c>
      <c r="E107" s="14" t="s">
        <v>57</v>
      </c>
      <c r="F107" s="14" t="s">
        <v>63</v>
      </c>
      <c r="G107" s="14">
        <v>42529</v>
      </c>
      <c r="H107" s="14">
        <v>204</v>
      </c>
      <c r="I107" s="14">
        <v>6.99</v>
      </c>
    </row>
  </sheetData>
  <autoFilter ref="B7:I107"/>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249977111117893"/>
  </sheetPr>
  <dimension ref="A1:L53"/>
  <sheetViews>
    <sheetView showGridLines="0" zoomScale="90" zoomScaleNormal="90" workbookViewId="0">
      <selection activeCell="C35" sqref="C35"/>
    </sheetView>
  </sheetViews>
  <sheetFormatPr defaultRowHeight="12"/>
  <cols>
    <col min="2" max="2" width="32.5703125" bestFit="1" customWidth="1"/>
    <col min="3" max="3" width="26.140625" bestFit="1" customWidth="1"/>
    <col min="4" max="4" width="12.42578125" bestFit="1" customWidth="1"/>
    <col min="5" max="5" width="19.85546875" bestFit="1" customWidth="1"/>
    <col min="6" max="6" width="15.42578125" bestFit="1" customWidth="1"/>
    <col min="7" max="7" width="19.28515625" bestFit="1" customWidth="1"/>
    <col min="8" max="8" width="8.85546875" bestFit="1" customWidth="1"/>
    <col min="9" max="9" width="17.85546875" bestFit="1" customWidth="1"/>
    <col min="10" max="10" width="17.85546875" style="5" customWidth="1"/>
    <col min="11" max="11" width="13.28515625" bestFit="1" customWidth="1"/>
  </cols>
  <sheetData>
    <row r="1" spans="1:12" ht="12.75">
      <c r="A1" s="4" t="str">
        <f>'Cover Page'!A1</f>
        <v>Problem Solving With Excel</v>
      </c>
    </row>
    <row r="2" spans="1:12" ht="12.75">
      <c r="A2" s="4" t="str">
        <f>'Cover Page'!A2</f>
        <v>Week 2</v>
      </c>
    </row>
    <row r="3" spans="1:12" ht="12.75">
      <c r="A3" s="4">
        <f>'Cover Page'!A3</f>
        <v>0</v>
      </c>
    </row>
    <row r="4" spans="1:12" ht="12.75">
      <c r="A4" s="4" t="s">
        <v>3</v>
      </c>
    </row>
    <row r="7" spans="1:12" ht="18.75">
      <c r="B7" s="1" t="s">
        <v>4</v>
      </c>
    </row>
    <row r="8" spans="1:12" ht="41.45" customHeight="1">
      <c r="B8" s="36" t="s">
        <v>294</v>
      </c>
      <c r="C8" s="36"/>
      <c r="D8" s="36"/>
      <c r="E8" s="36"/>
      <c r="F8" s="36"/>
      <c r="G8" s="36"/>
      <c r="H8" s="36"/>
      <c r="I8" s="36"/>
      <c r="J8" s="36"/>
      <c r="K8" s="36"/>
      <c r="L8" s="36"/>
    </row>
    <row r="9" spans="1:12" ht="7.9" customHeight="1">
      <c r="B9" s="6"/>
      <c r="C9" s="6"/>
      <c r="D9" s="6"/>
      <c r="E9" s="6"/>
      <c r="F9" s="6"/>
      <c r="G9" s="6"/>
      <c r="H9" s="6"/>
      <c r="I9" s="6"/>
      <c r="J9" s="6"/>
      <c r="K9" s="6"/>
      <c r="L9" s="6"/>
    </row>
    <row r="10" spans="1:12" ht="22.15" customHeight="1">
      <c r="B10" s="37" t="s">
        <v>296</v>
      </c>
      <c r="C10" s="37"/>
      <c r="D10" s="37"/>
      <c r="E10" s="37"/>
      <c r="F10" s="37"/>
      <c r="G10" s="37"/>
      <c r="H10" s="37"/>
      <c r="I10" s="37"/>
      <c r="J10" s="37"/>
      <c r="K10" s="37"/>
      <c r="L10" s="37"/>
    </row>
    <row r="11" spans="1:12" ht="9.6" customHeight="1" thickBot="1">
      <c r="B11" s="6"/>
      <c r="C11" s="6"/>
      <c r="D11" s="6"/>
      <c r="E11" s="6"/>
      <c r="F11" s="6"/>
      <c r="G11" s="6"/>
      <c r="H11" s="6"/>
      <c r="I11" s="6"/>
      <c r="J11" s="6"/>
      <c r="K11" s="6"/>
      <c r="L11" s="6"/>
    </row>
    <row r="12" spans="1:12" ht="15.75">
      <c r="B12" s="7" t="s">
        <v>14</v>
      </c>
      <c r="C12" s="10" t="s">
        <v>11</v>
      </c>
      <c r="D12" s="11" t="s">
        <v>5</v>
      </c>
      <c r="E12" s="11" t="s">
        <v>6</v>
      </c>
      <c r="F12" s="11" t="s">
        <v>7</v>
      </c>
      <c r="G12" s="11" t="s">
        <v>8</v>
      </c>
      <c r="H12" s="11" t="s">
        <v>9</v>
      </c>
      <c r="I12" s="11" t="s">
        <v>227</v>
      </c>
      <c r="J12" s="32" t="s">
        <v>268</v>
      </c>
      <c r="K12" s="12" t="s">
        <v>10</v>
      </c>
    </row>
    <row r="13" spans="1:12">
      <c r="B13" s="8">
        <v>23264</v>
      </c>
      <c r="C13" s="13" t="str">
        <f>IFERROR(VLOOKUP($B13,Data_Set_Clean_Ans!$B$8:$M$108,3,FALSE),"Left Firm")</f>
        <v>Douglas</v>
      </c>
      <c r="D13" s="13" t="str">
        <f>IFERROR(VLOOKUP($B13,Data_Set_Clean_Ans!$B$8:$M$108,4,FALSE),"-")</f>
        <v>Tanzania, United Republic of</v>
      </c>
      <c r="E13" s="13" t="str">
        <f>IFERROR(VLOOKUP($B13,Data_Set_Clean_Ans!$B$8:$M$108,6,FALSE),"-")</f>
        <v>Online</v>
      </c>
      <c r="F13" s="14" t="str">
        <f>IFERROR(VLOOKUP($B13,Data_Set_Clean_Ans!$B$8:$M$108,5,FALSE),"-")</f>
        <v>PURA-250</v>
      </c>
      <c r="G13" s="13">
        <f>IFERROR(VLOOKUP($B13,Data_Set_Clean_Ans!$B$8:$M$108,8,FALSE),"-")</f>
        <v>205</v>
      </c>
      <c r="H13" s="13">
        <f>IFERROR(VLOOKUP($B13,Data_Set_Clean_Ans!$B$8:$M$108,11,FALSE),"-")</f>
        <v>9</v>
      </c>
      <c r="I13" s="13">
        <f>IFERROR(VLOOKUP($B13,Data_Set_Clean_Ans!$B$8:$M$108,9,FALSE),"-")</f>
        <v>250</v>
      </c>
      <c r="J13" s="13" t="str">
        <f>IFERROR(VLOOKUP($B13,Data_Set_Clean_Ans!$B$8:$M$108,10,FALSE),"-")</f>
        <v>ml</v>
      </c>
      <c r="K13" s="13">
        <f>IFERROR(VLOOKUP($B13,Data_Set_Clean_Ans!$B$8:$M$108,12,FALSE),"-")</f>
        <v>1845</v>
      </c>
    </row>
    <row r="14" spans="1:12">
      <c r="B14" s="8">
        <v>23371</v>
      </c>
      <c r="C14" s="13" t="str">
        <f>IFERROR(VLOOKUP($B14,Data_Set_Clean_Ans!$B$8:$M$108,3,FALSE),"Left Firm")</f>
        <v>Williams</v>
      </c>
      <c r="D14" s="14" t="str">
        <f>IFERROR(VLOOKUP($B14,Data_Set_Clean_Ans!$B$8:$M$108,4,FALSE),"-")</f>
        <v>Trinidad and Tobago</v>
      </c>
      <c r="E14" s="14" t="str">
        <f>IFERROR(VLOOKUP($B14,Data_Set_Clean_Ans!$B$8:$M$108,6,FALSE),"-")</f>
        <v>Online</v>
      </c>
      <c r="F14" s="14" t="str">
        <f>IFERROR(VLOOKUP($B14,Data_Set_Clean_Ans!$B$8:$M$108,5,FALSE),"-")</f>
        <v>SUPA-1000</v>
      </c>
      <c r="G14" s="14">
        <f>IFERROR(VLOOKUP($B14,Data_Set_Clean_Ans!$B$8:$M$108,8,FALSE),"-")</f>
        <v>204</v>
      </c>
      <c r="H14" s="14">
        <f>IFERROR(VLOOKUP($B14,Data_Set_Clean_Ans!$B$8:$M$108,11,FALSE),"-")</f>
        <v>6.99</v>
      </c>
      <c r="I14" s="14">
        <f>IFERROR(VLOOKUP($B14,Data_Set_Clean_Ans!$B$8:$M$108,9,FALSE),"-")</f>
        <v>1000</v>
      </c>
      <c r="J14" s="33" t="str">
        <f>IFERROR(VLOOKUP($B14,Data_Set_Clean_Ans!$B$8:$M$108,10,FALSE),"-")</f>
        <v>ml</v>
      </c>
      <c r="K14" s="15">
        <f>IFERROR(VLOOKUP($B14,Data_Set_Clean_Ans!$B$8:$M$108,12,FALSE),"-")</f>
        <v>1425.96</v>
      </c>
    </row>
    <row r="15" spans="1:12">
      <c r="B15" s="8">
        <v>23332</v>
      </c>
      <c r="C15" s="13" t="str">
        <f>IFERROR(VLOOKUP($B15,Data_Set_Clean_Ans!$B$8:$M$108,3,FALSE),"Left Firm")</f>
        <v>Carter</v>
      </c>
      <c r="D15" s="14" t="str">
        <f>IFERROR(VLOOKUP($B15,Data_Set_Clean_Ans!$B$8:$M$108,4,FALSE),"-")</f>
        <v>Malaysia</v>
      </c>
      <c r="E15" s="14" t="str">
        <f>IFERROR(VLOOKUP($B15,Data_Set_Clean_Ans!$B$8:$M$108,6,FALSE),"-")</f>
        <v>Direct</v>
      </c>
      <c r="F15" s="14" t="str">
        <f>IFERROR(VLOOKUP($B15,Data_Set_Clean_Ans!$B$8:$M$108,5,FALSE),"-")</f>
        <v>PURA-250</v>
      </c>
      <c r="G15" s="14">
        <f>IFERROR(VLOOKUP($B15,Data_Set_Clean_Ans!$B$8:$M$108,8,FALSE),"-")</f>
        <v>4.5</v>
      </c>
      <c r="H15" s="14">
        <f>IFERROR(VLOOKUP($B15,Data_Set_Clean_Ans!$B$8:$M$108,11,FALSE),"-")</f>
        <v>4.5</v>
      </c>
      <c r="I15" s="14">
        <f>IFERROR(VLOOKUP($B15,Data_Set_Clean_Ans!$B$8:$M$108,9,FALSE),"-")</f>
        <v>250</v>
      </c>
      <c r="J15" s="33" t="str">
        <f>IFERROR(VLOOKUP($B15,Data_Set_Clean_Ans!$B$8:$M$108,10,FALSE),"-")</f>
        <v>ml</v>
      </c>
      <c r="K15" s="15">
        <f>IFERROR(VLOOKUP($B15,Data_Set_Clean_Ans!$B$8:$M$108,12,FALSE),"-")</f>
        <v>20.25</v>
      </c>
    </row>
    <row r="16" spans="1:12">
      <c r="B16" s="8">
        <v>23329</v>
      </c>
      <c r="C16" s="13" t="str">
        <f>IFERROR(VLOOKUP($B16,Data_Set_Clean_Ans!$B$8:$M$108,3,FALSE),"Left Firm")</f>
        <v>Cobb</v>
      </c>
      <c r="D16" s="14" t="str">
        <f>IFERROR(VLOOKUP($B16,Data_Set_Clean_Ans!$B$8:$M$108,4,FALSE),"-")</f>
        <v>Uruguay</v>
      </c>
      <c r="E16" s="14" t="str">
        <f>IFERROR(VLOOKUP($B16,Data_Set_Clean_Ans!$B$8:$M$108,6,FALSE),"-")</f>
        <v>Retail</v>
      </c>
      <c r="F16" s="14" t="str">
        <f>IFERROR(VLOOKUP($B16,Data_Set_Clean_Ans!$B$8:$M$108,5,FALSE),"-")</f>
        <v>PURA-250</v>
      </c>
      <c r="G16" s="14">
        <f>IFERROR(VLOOKUP($B16,Data_Set_Clean_Ans!$B$8:$M$108,8,FALSE),"-")</f>
        <v>203</v>
      </c>
      <c r="H16" s="14">
        <f>IFERROR(VLOOKUP($B16,Data_Set_Clean_Ans!$B$8:$M$108,11,FALSE),"-")</f>
        <v>4.5</v>
      </c>
      <c r="I16" s="14">
        <f>IFERROR(VLOOKUP($B16,Data_Set_Clean_Ans!$B$8:$M$108,9,FALSE),"-")</f>
        <v>250</v>
      </c>
      <c r="J16" s="33" t="str">
        <f>IFERROR(VLOOKUP($B16,Data_Set_Clean_Ans!$B$8:$M$108,10,FALSE),"-")</f>
        <v>ml</v>
      </c>
      <c r="K16" s="15">
        <f>IFERROR(VLOOKUP($B16,Data_Set_Clean_Ans!$B$8:$M$108,12,FALSE),"-")</f>
        <v>913.5</v>
      </c>
    </row>
    <row r="17" spans="2:11">
      <c r="B17" s="8">
        <v>33301</v>
      </c>
      <c r="C17" s="13" t="str">
        <f>IFERROR(VLOOKUP($B17,Data_Set_Clean_Ans!$B$8:$M$108,3,FALSE),"Left Firm")</f>
        <v>Left Firm</v>
      </c>
      <c r="D17" s="14" t="str">
        <f>IFERROR(VLOOKUP($B17,Data_Set_Clean_Ans!$B$8:$M$108,4,FALSE),"-")</f>
        <v>-</v>
      </c>
      <c r="E17" s="14" t="str">
        <f>IFERROR(VLOOKUP($B17,Data_Set_Clean_Ans!$B$8:$M$108,6,FALSE),"-")</f>
        <v>-</v>
      </c>
      <c r="F17" s="14" t="str">
        <f>IFERROR(VLOOKUP($B17,Data_Set_Clean_Ans!$B$8:$M$108,5,FALSE),"-")</f>
        <v>-</v>
      </c>
      <c r="G17" s="14" t="str">
        <f>IFERROR(VLOOKUP($B17,Data_Set_Clean_Ans!$B$8:$M$108,8,FALSE),"-")</f>
        <v>-</v>
      </c>
      <c r="H17" s="14" t="str">
        <f>IFERROR(VLOOKUP($B17,Data_Set_Clean_Ans!$B$8:$M$108,11,FALSE),"-")</f>
        <v>-</v>
      </c>
      <c r="I17" s="14" t="str">
        <f>IFERROR(VLOOKUP($B17,Data_Set_Clean_Ans!$B$8:$M$108,9,FALSE),"-")</f>
        <v>-</v>
      </c>
      <c r="J17" s="33" t="str">
        <f>IFERROR(VLOOKUP($B17,Data_Set_Clean_Ans!$B$8:$M$108,10,FALSE),"-")</f>
        <v>-</v>
      </c>
      <c r="K17" s="15" t="str">
        <f>IFERROR(VLOOKUP($B17,Data_Set_Clean_Ans!$B$8:$M$108,12,FALSE),"-")</f>
        <v>-</v>
      </c>
    </row>
    <row r="18" spans="2:11">
      <c r="B18" s="8">
        <v>23291</v>
      </c>
      <c r="C18" s="13" t="str">
        <f>IFERROR(VLOOKUP($B18,Data_Set_Clean_Ans!$B$8:$M$108,3,FALSE),"Left Firm")</f>
        <v>Odonnell</v>
      </c>
      <c r="D18" s="14" t="str">
        <f>IFERROR(VLOOKUP($B18,Data_Set_Clean_Ans!$B$8:$M$108,4,FALSE),"-")</f>
        <v>Albania</v>
      </c>
      <c r="E18" s="14" t="str">
        <f>IFERROR(VLOOKUP($B18,Data_Set_Clean_Ans!$B$8:$M$108,6,FALSE),"-")</f>
        <v>Retail</v>
      </c>
      <c r="F18" s="14" t="str">
        <f>IFERROR(VLOOKUP($B18,Data_Set_Clean_Ans!$B$8:$M$108,5,FALSE),"-")</f>
        <v>DETA-800</v>
      </c>
      <c r="G18" s="14">
        <f>IFERROR(VLOOKUP($B18,Data_Set_Clean_Ans!$B$8:$M$108,8,FALSE),"-")</f>
        <v>199</v>
      </c>
      <c r="H18" s="14">
        <f>IFERROR(VLOOKUP($B18,Data_Set_Clean_Ans!$B$8:$M$108,11,FALSE),"-")</f>
        <v>9</v>
      </c>
      <c r="I18" s="14">
        <f>IFERROR(VLOOKUP($B18,Data_Set_Clean_Ans!$B$8:$M$108,9,FALSE),"-")</f>
        <v>800</v>
      </c>
      <c r="J18" s="33" t="str">
        <f>IFERROR(VLOOKUP($B18,Data_Set_Clean_Ans!$B$8:$M$108,10,FALSE),"-")</f>
        <v>ml</v>
      </c>
      <c r="K18" s="15">
        <f>IFERROR(VLOOKUP($B18,Data_Set_Clean_Ans!$B$8:$M$108,12,FALSE),"-")</f>
        <v>1791</v>
      </c>
    </row>
    <row r="19" spans="2:11">
      <c r="B19" s="8">
        <v>23317</v>
      </c>
      <c r="C19" s="13" t="str">
        <f>IFERROR(VLOOKUP($B19,Data_Set_Clean_Ans!$B$8:$M$108,3,FALSE),"Left Firm")</f>
        <v>Buckley</v>
      </c>
      <c r="D19" s="14" t="str">
        <f>IFERROR(VLOOKUP($B19,Data_Set_Clean_Ans!$B$8:$M$108,4,FALSE),"-")</f>
        <v>Malta</v>
      </c>
      <c r="E19" s="14" t="str">
        <f>IFERROR(VLOOKUP($B19,Data_Set_Clean_Ans!$B$8:$M$108,6,FALSE),"-")</f>
        <v>Direct</v>
      </c>
      <c r="F19" s="14" t="str">
        <f>IFERROR(VLOOKUP($B19,Data_Set_Clean_Ans!$B$8:$M$108,5,FALSE),"-")</f>
        <v>DETA-100</v>
      </c>
      <c r="G19" s="14">
        <f>IFERROR(VLOOKUP($B19,Data_Set_Clean_Ans!$B$8:$M$108,8,FALSE),"-")</f>
        <v>196</v>
      </c>
      <c r="H19" s="14">
        <f>IFERROR(VLOOKUP($B19,Data_Set_Clean_Ans!$B$8:$M$108,11,FALSE),"-")</f>
        <v>4.5</v>
      </c>
      <c r="I19" s="14">
        <f>IFERROR(VLOOKUP($B19,Data_Set_Clean_Ans!$B$8:$M$108,9,FALSE),"-")</f>
        <v>100</v>
      </c>
      <c r="J19" s="33" t="str">
        <f>IFERROR(VLOOKUP($B19,Data_Set_Clean_Ans!$B$8:$M$108,10,FALSE),"-")</f>
        <v>ml</v>
      </c>
      <c r="K19" s="15">
        <f>IFERROR(VLOOKUP($B19,Data_Set_Clean_Ans!$B$8:$M$108,12,FALSE),"-")</f>
        <v>882</v>
      </c>
    </row>
    <row r="20" spans="2:11">
      <c r="B20" s="8">
        <v>23324</v>
      </c>
      <c r="C20" s="13" t="str">
        <f>IFERROR(VLOOKUP($B20,Data_Set_Clean_Ans!$B$8:$M$108,3,FALSE),"Left Firm")</f>
        <v>Warner</v>
      </c>
      <c r="D20" s="14" t="str">
        <f>IFERROR(VLOOKUP($B20,Data_Set_Clean_Ans!$B$8:$M$108,4,FALSE),"-")</f>
        <v>Burkina Faso</v>
      </c>
      <c r="E20" s="14" t="str">
        <f>IFERROR(VLOOKUP($B20,Data_Set_Clean_Ans!$B$8:$M$108,6,FALSE),"-")</f>
        <v>Retail</v>
      </c>
      <c r="F20" s="14" t="str">
        <f>IFERROR(VLOOKUP($B20,Data_Set_Clean_Ans!$B$8:$M$108,5,FALSE),"-")</f>
        <v>PURA-500</v>
      </c>
      <c r="G20" s="14">
        <f>IFERROR(VLOOKUP($B20,Data_Set_Clean_Ans!$B$8:$M$108,8,FALSE),"-")</f>
        <v>193</v>
      </c>
      <c r="H20" s="14">
        <f>IFERROR(VLOOKUP($B20,Data_Set_Clean_Ans!$B$8:$M$108,11,FALSE),"-")</f>
        <v>9.99</v>
      </c>
      <c r="I20" s="14">
        <f>IFERROR(VLOOKUP($B20,Data_Set_Clean_Ans!$B$8:$M$108,9,FALSE),"-")</f>
        <v>500</v>
      </c>
      <c r="J20" s="33" t="str">
        <f>IFERROR(VLOOKUP($B20,Data_Set_Clean_Ans!$B$8:$M$108,10,FALSE),"-")</f>
        <v>ml</v>
      </c>
      <c r="K20" s="15">
        <f>IFERROR(VLOOKUP($B20,Data_Set_Clean_Ans!$B$8:$M$108,12,FALSE),"-")</f>
        <v>1928.07</v>
      </c>
    </row>
    <row r="21" spans="2:11">
      <c r="B21" s="8">
        <v>33308</v>
      </c>
      <c r="C21" s="13" t="str">
        <f>IFERROR(VLOOKUP($B21,Data_Set_Clean_Ans!$B$8:$M$108,3,FALSE),"Left Firm")</f>
        <v>Left Firm</v>
      </c>
      <c r="D21" s="14" t="str">
        <f>IFERROR(VLOOKUP($B21,Data_Set_Clean_Ans!$B$8:$M$108,4,FALSE),"-")</f>
        <v>-</v>
      </c>
      <c r="E21" s="14" t="str">
        <f>IFERROR(VLOOKUP($B21,Data_Set_Clean_Ans!$B$8:$M$108,6,FALSE),"-")</f>
        <v>-</v>
      </c>
      <c r="F21" s="14" t="str">
        <f>IFERROR(VLOOKUP($B21,Data_Set_Clean_Ans!$B$8:$M$108,5,FALSE),"-")</f>
        <v>-</v>
      </c>
      <c r="G21" s="14" t="str">
        <f>IFERROR(VLOOKUP($B21,Data_Set_Clean_Ans!$B$8:$M$108,8,FALSE),"-")</f>
        <v>-</v>
      </c>
      <c r="H21" s="14" t="str">
        <f>IFERROR(VLOOKUP($B21,Data_Set_Clean_Ans!$B$8:$M$108,11,FALSE),"-")</f>
        <v>-</v>
      </c>
      <c r="I21" s="14" t="str">
        <f>IFERROR(VLOOKUP($B21,Data_Set_Clean_Ans!$B$8:$M$108,9,FALSE),"-")</f>
        <v>-</v>
      </c>
      <c r="J21" s="33" t="str">
        <f>IFERROR(VLOOKUP($B21,Data_Set_Clean_Ans!$B$8:$M$108,10,FALSE),"-")</f>
        <v>-</v>
      </c>
      <c r="K21" s="15" t="str">
        <f>IFERROR(VLOOKUP($B21,Data_Set_Clean_Ans!$B$8:$M$108,12,FALSE),"-")</f>
        <v>-</v>
      </c>
    </row>
    <row r="22" spans="2:11">
      <c r="B22" s="8">
        <v>23350</v>
      </c>
      <c r="C22" s="13" t="str">
        <f>IFERROR(VLOOKUP($B22,Data_Set_Clean_Ans!$B$8:$M$108,3,FALSE),"Left Firm")</f>
        <v>Acevedo</v>
      </c>
      <c r="D22" s="14" t="str">
        <f>IFERROR(VLOOKUP($B22,Data_Set_Clean_Ans!$B$8:$M$108,4,FALSE),"-")</f>
        <v>Burundi</v>
      </c>
      <c r="E22" s="14" t="str">
        <f>IFERROR(VLOOKUP($B22,Data_Set_Clean_Ans!$B$8:$M$108,6,FALSE),"-")</f>
        <v>Online</v>
      </c>
      <c r="F22" s="14" t="str">
        <f>IFERROR(VLOOKUP($B22,Data_Set_Clean_Ans!$B$8:$M$108,5,FALSE),"-")</f>
        <v>SUPA-1000</v>
      </c>
      <c r="G22" s="14">
        <f>IFERROR(VLOOKUP($B22,Data_Set_Clean_Ans!$B$8:$M$108,8,FALSE),"-")</f>
        <v>188</v>
      </c>
      <c r="H22" s="14">
        <f>IFERROR(VLOOKUP($B22,Data_Set_Clean_Ans!$B$8:$M$108,11,FALSE),"-")</f>
        <v>9</v>
      </c>
      <c r="I22" s="14">
        <f>IFERROR(VLOOKUP($B22,Data_Set_Clean_Ans!$B$8:$M$108,9,FALSE),"-")</f>
        <v>1000</v>
      </c>
      <c r="J22" s="33" t="str">
        <f>IFERROR(VLOOKUP($B22,Data_Set_Clean_Ans!$B$8:$M$108,10,FALSE),"-")</f>
        <v>ml</v>
      </c>
      <c r="K22" s="15">
        <f>IFERROR(VLOOKUP($B22,Data_Set_Clean_Ans!$B$8:$M$108,12,FALSE),"-")</f>
        <v>1692</v>
      </c>
    </row>
    <row r="23" spans="2:11">
      <c r="B23" s="8">
        <v>23325</v>
      </c>
      <c r="C23" s="13" t="str">
        <f>IFERROR(VLOOKUP($B23,Data_Set_Clean_Ans!$B$8:$M$108,3,FALSE),"Left Firm")</f>
        <v>Mcclure</v>
      </c>
      <c r="D23" s="14" t="str">
        <f>IFERROR(VLOOKUP($B23,Data_Set_Clean_Ans!$B$8:$M$108,4,FALSE),"-")</f>
        <v>Indonesia</v>
      </c>
      <c r="E23" s="14" t="str">
        <f>IFERROR(VLOOKUP($B23,Data_Set_Clean_Ans!$B$8:$M$108,6,FALSE),"-")</f>
        <v>Retail</v>
      </c>
      <c r="F23" s="14" t="str">
        <f>IFERROR(VLOOKUP($B23,Data_Set_Clean_Ans!$B$8:$M$108,5,FALSE),"-")</f>
        <v>PURA-200</v>
      </c>
      <c r="G23" s="14">
        <f>IFERROR(VLOOKUP($B23,Data_Set_Clean_Ans!$B$8:$M$108,8,FALSE),"-")</f>
        <v>184</v>
      </c>
      <c r="H23" s="14">
        <f>IFERROR(VLOOKUP($B23,Data_Set_Clean_Ans!$B$8:$M$108,11,FALSE),"-")</f>
        <v>6</v>
      </c>
      <c r="I23" s="14">
        <f>IFERROR(VLOOKUP($B23,Data_Set_Clean_Ans!$B$8:$M$108,9,FALSE),"-")</f>
        <v>200</v>
      </c>
      <c r="J23" s="33" t="str">
        <f>IFERROR(VLOOKUP($B23,Data_Set_Clean_Ans!$B$8:$M$108,10,FALSE),"-")</f>
        <v>ml</v>
      </c>
      <c r="K23" s="15">
        <f>IFERROR(VLOOKUP($B23,Data_Set_Clean_Ans!$B$8:$M$108,12,FALSE),"-")</f>
        <v>1104</v>
      </c>
    </row>
    <row r="24" spans="2:11">
      <c r="B24" s="8">
        <v>23361</v>
      </c>
      <c r="C24" s="13" t="str">
        <f>IFERROR(VLOOKUP($B24,Data_Set_Clean_Ans!$B$8:$M$108,3,FALSE),"Left Firm")</f>
        <v>Byrd</v>
      </c>
      <c r="D24" s="14" t="str">
        <f>IFERROR(VLOOKUP($B24,Data_Set_Clean_Ans!$B$8:$M$108,4,FALSE),"-")</f>
        <v>Mauritania</v>
      </c>
      <c r="E24" s="14" t="str">
        <f>IFERROR(VLOOKUP($B24,Data_Set_Clean_Ans!$B$8:$M$108,6,FALSE),"-")</f>
        <v>Online</v>
      </c>
      <c r="F24" s="14" t="str">
        <f>IFERROR(VLOOKUP($B24,Data_Set_Clean_Ans!$B$8:$M$108,5,FALSE),"-")</f>
        <v>PURA-100</v>
      </c>
      <c r="G24" s="14">
        <f>IFERROR(VLOOKUP($B24,Data_Set_Clean_Ans!$B$8:$M$108,8,FALSE),"-")</f>
        <v>184</v>
      </c>
      <c r="H24" s="14">
        <f>IFERROR(VLOOKUP($B24,Data_Set_Clean_Ans!$B$8:$M$108,11,FALSE),"-")</f>
        <v>6.99</v>
      </c>
      <c r="I24" s="14">
        <f>IFERROR(VLOOKUP($B24,Data_Set_Clean_Ans!$B$8:$M$108,9,FALSE),"-")</f>
        <v>100</v>
      </c>
      <c r="J24" s="33" t="str">
        <f>IFERROR(VLOOKUP($B24,Data_Set_Clean_Ans!$B$8:$M$108,10,FALSE),"-")</f>
        <v>ml</v>
      </c>
      <c r="K24" s="15">
        <f>IFERROR(VLOOKUP($B24,Data_Set_Clean_Ans!$B$8:$M$108,12,FALSE),"-")</f>
        <v>1286.1600000000001</v>
      </c>
    </row>
    <row r="25" spans="2:11">
      <c r="B25" s="8">
        <v>23362</v>
      </c>
      <c r="C25" s="13" t="str">
        <f>IFERROR(VLOOKUP($B25,Data_Set_Clean_Ans!$B$8:$M$108,3,FALSE),"Left Firm")</f>
        <v>Alvarado</v>
      </c>
      <c r="D25" s="14" t="str">
        <f>IFERROR(VLOOKUP($B25,Data_Set_Clean_Ans!$B$8:$M$108,4,FALSE),"-")</f>
        <v>Korea, Republic of</v>
      </c>
      <c r="E25" s="14" t="str">
        <f>IFERROR(VLOOKUP($B25,Data_Set_Clean_Ans!$B$8:$M$108,6,FALSE),"-")</f>
        <v>Online</v>
      </c>
      <c r="F25" s="14" t="str">
        <f>IFERROR(VLOOKUP($B25,Data_Set_Clean_Ans!$B$8:$M$108,5,FALSE),"-")</f>
        <v>PURA-500</v>
      </c>
      <c r="G25" s="14">
        <f>IFERROR(VLOOKUP($B25,Data_Set_Clean_Ans!$B$8:$M$108,8,FALSE),"-")</f>
        <v>179</v>
      </c>
      <c r="H25" s="14">
        <f>IFERROR(VLOOKUP($B25,Data_Set_Clean_Ans!$B$8:$M$108,11,FALSE),"-")</f>
        <v>3</v>
      </c>
      <c r="I25" s="14">
        <f>IFERROR(VLOOKUP($B25,Data_Set_Clean_Ans!$B$8:$M$108,9,FALSE),"-")</f>
        <v>500</v>
      </c>
      <c r="J25" s="33" t="str">
        <f>IFERROR(VLOOKUP($B25,Data_Set_Clean_Ans!$B$8:$M$108,10,FALSE),"-")</f>
        <v>ml</v>
      </c>
      <c r="K25" s="15">
        <f>IFERROR(VLOOKUP($B25,Data_Set_Clean_Ans!$B$8:$M$108,12,FALSE),"-")</f>
        <v>537</v>
      </c>
    </row>
    <row r="26" spans="2:11">
      <c r="B26" s="8">
        <v>23338</v>
      </c>
      <c r="C26" s="13" t="str">
        <f>IFERROR(VLOOKUP($B26,Data_Set_Clean_Ans!$B$8:$M$108,3,FALSE),"Left Firm")</f>
        <v>Best</v>
      </c>
      <c r="D26" s="14" t="str">
        <f>IFERROR(VLOOKUP($B26,Data_Set_Clean_Ans!$B$8:$M$108,4,FALSE),"-")</f>
        <v>Western Sahara</v>
      </c>
      <c r="E26" s="14" t="str">
        <f>IFERROR(VLOOKUP($B26,Data_Set_Clean_Ans!$B$8:$M$108,6,FALSE),"-")</f>
        <v>Retail</v>
      </c>
      <c r="F26" s="14" t="str">
        <f>IFERROR(VLOOKUP($B26,Data_Set_Clean_Ans!$B$8:$M$108,5,FALSE),"-")</f>
        <v>PURA-250</v>
      </c>
      <c r="G26" s="14">
        <f>IFERROR(VLOOKUP($B26,Data_Set_Clean_Ans!$B$8:$M$108,8,FALSE),"-")</f>
        <v>178</v>
      </c>
      <c r="H26" s="14">
        <f>IFERROR(VLOOKUP($B26,Data_Set_Clean_Ans!$B$8:$M$108,11,FALSE),"-")</f>
        <v>4.5</v>
      </c>
      <c r="I26" s="14">
        <f>IFERROR(VLOOKUP($B26,Data_Set_Clean_Ans!$B$8:$M$108,9,FALSE),"-")</f>
        <v>250</v>
      </c>
      <c r="J26" s="33" t="str">
        <f>IFERROR(VLOOKUP($B26,Data_Set_Clean_Ans!$B$8:$M$108,10,FALSE),"-")</f>
        <v>ml</v>
      </c>
      <c r="K26" s="15">
        <f>IFERROR(VLOOKUP($B26,Data_Set_Clean_Ans!$B$8:$M$108,12,FALSE),"-")</f>
        <v>801</v>
      </c>
    </row>
    <row r="27" spans="2:11">
      <c r="B27" s="8">
        <v>50021</v>
      </c>
      <c r="C27" s="13" t="str">
        <f>IFERROR(VLOOKUP($B27,Data_Set_Clean_Ans!$B$8:$M$108,3,FALSE),"Left Firm")</f>
        <v>Left Firm</v>
      </c>
      <c r="D27" s="14" t="str">
        <f>IFERROR(VLOOKUP($B27,Data_Set_Clean_Ans!$B$8:$M$108,4,FALSE),"-")</f>
        <v>-</v>
      </c>
      <c r="E27" s="14" t="str">
        <f>IFERROR(VLOOKUP($B27,Data_Set_Clean_Ans!$B$8:$M$108,6,FALSE),"-")</f>
        <v>-</v>
      </c>
      <c r="F27" s="14" t="str">
        <f>IFERROR(VLOOKUP($B27,Data_Set_Clean_Ans!$B$8:$M$108,5,FALSE),"-")</f>
        <v>-</v>
      </c>
      <c r="G27" s="14" t="str">
        <f>IFERROR(VLOOKUP($B27,Data_Set_Clean_Ans!$B$8:$M$108,8,FALSE),"-")</f>
        <v>-</v>
      </c>
      <c r="H27" s="14" t="str">
        <f>IFERROR(VLOOKUP($B27,Data_Set_Clean_Ans!$B$8:$M$108,11,FALSE),"-")</f>
        <v>-</v>
      </c>
      <c r="I27" s="14" t="str">
        <f>IFERROR(VLOOKUP($B27,Data_Set_Clean_Ans!$B$8:$M$108,9,FALSE),"-")</f>
        <v>-</v>
      </c>
      <c r="J27" s="33" t="str">
        <f>IFERROR(VLOOKUP($B27,Data_Set_Clean_Ans!$B$8:$M$108,10,FALSE),"-")</f>
        <v>-</v>
      </c>
      <c r="K27" s="15" t="str">
        <f>IFERROR(VLOOKUP($B27,Data_Set_Clean_Ans!$B$8:$M$108,12,FALSE),"-")</f>
        <v>-</v>
      </c>
    </row>
    <row r="28" spans="2:11">
      <c r="B28" s="8">
        <v>23303</v>
      </c>
      <c r="C28" s="13" t="str">
        <f>IFERROR(VLOOKUP($B28,Data_Set_Clean_Ans!$B$8:$M$108,3,FALSE),"Left Firm")</f>
        <v>Key</v>
      </c>
      <c r="D28" s="14" t="str">
        <f>IFERROR(VLOOKUP($B28,Data_Set_Clean_Ans!$B$8:$M$108,4,FALSE),"-")</f>
        <v>Colombia</v>
      </c>
      <c r="E28" s="14" t="str">
        <f>IFERROR(VLOOKUP($B28,Data_Set_Clean_Ans!$B$8:$M$108,6,FALSE),"-")</f>
        <v>Retail</v>
      </c>
      <c r="F28" s="14" t="str">
        <f>IFERROR(VLOOKUP($B28,Data_Set_Clean_Ans!$B$8:$M$108,5,FALSE),"-")</f>
        <v>DETA-800</v>
      </c>
      <c r="G28" s="14">
        <f>IFERROR(VLOOKUP($B28,Data_Set_Clean_Ans!$B$8:$M$108,8,FALSE),"-")</f>
        <v>176</v>
      </c>
      <c r="H28" s="14">
        <f>IFERROR(VLOOKUP($B28,Data_Set_Clean_Ans!$B$8:$M$108,11,FALSE),"-")</f>
        <v>14.5</v>
      </c>
      <c r="I28" s="14">
        <f>IFERROR(VLOOKUP($B28,Data_Set_Clean_Ans!$B$8:$M$108,9,FALSE),"-")</f>
        <v>800</v>
      </c>
      <c r="J28" s="33" t="str">
        <f>IFERROR(VLOOKUP($B28,Data_Set_Clean_Ans!$B$8:$M$108,10,FALSE),"-")</f>
        <v>ml</v>
      </c>
      <c r="K28" s="15">
        <f>IFERROR(VLOOKUP($B28,Data_Set_Clean_Ans!$B$8:$M$108,12,FALSE),"-")</f>
        <v>2552</v>
      </c>
    </row>
    <row r="29" spans="2:11" ht="12.75" thickBot="1">
      <c r="B29" s="9">
        <v>32667</v>
      </c>
      <c r="C29" s="16" t="str">
        <f>IFERROR(VLOOKUP($B29,Data_Set_Clean_Ans!$B$8:$M$108,3,FALSE),"Left Firm")</f>
        <v>Left Firm</v>
      </c>
      <c r="D29" s="17" t="str">
        <f>IFERROR(VLOOKUP($B29,Data_Set_Clean_Ans!$B$8:$M$108,4,FALSE),"-")</f>
        <v>-</v>
      </c>
      <c r="E29" s="17" t="str">
        <f>IFERROR(VLOOKUP($B29,Data_Set_Clean_Ans!$B$8:$M$108,6,FALSE),"-")</f>
        <v>-</v>
      </c>
      <c r="F29" s="17" t="str">
        <f>IFERROR(VLOOKUP($B29,Data_Set_Clean_Ans!$B$8:$M$108,5,FALSE),"-")</f>
        <v>-</v>
      </c>
      <c r="G29" s="17" t="str">
        <f>IFERROR(VLOOKUP($B29,Data_Set_Clean_Ans!$B$8:$M$108,8,FALSE),"-")</f>
        <v>-</v>
      </c>
      <c r="H29" s="17" t="str">
        <f>IFERROR(VLOOKUP($B29,Data_Set_Clean_Ans!$B$8:$M$108,11,FALSE),"-")</f>
        <v>-</v>
      </c>
      <c r="I29" s="17" t="str">
        <f>IFERROR(VLOOKUP($B29,Data_Set_Clean_Ans!$B$8:$M$108,9,FALSE),"-")</f>
        <v>-</v>
      </c>
      <c r="J29" s="34" t="str">
        <f>IFERROR(VLOOKUP($B29,Data_Set_Clean_Ans!$B$8:$M$108,10,FALSE),"-")</f>
        <v>-</v>
      </c>
      <c r="K29" s="18" t="str">
        <f>IFERROR(VLOOKUP($B29,Data_Set_Clean_Ans!$B$8:$M$108,12,FALSE),"-")</f>
        <v>-</v>
      </c>
    </row>
    <row r="33" spans="2:3" ht="12.75" thickBot="1"/>
    <row r="34" spans="2:3" ht="12.75" thickTop="1">
      <c r="B34" s="19" t="s">
        <v>12</v>
      </c>
      <c r="C34" s="20">
        <f>SUM(G13:G29)</f>
        <v>2293.5</v>
      </c>
    </row>
    <row r="35" spans="2:3" ht="12.75" thickBot="1">
      <c r="B35" s="21" t="s">
        <v>13</v>
      </c>
      <c r="C35" s="22">
        <f>SUM(K13:K29)</f>
        <v>16777.940000000002</v>
      </c>
    </row>
    <row r="36" spans="2:3" ht="12.75" thickTop="1"/>
    <row r="39" spans="2:3">
      <c r="B39" s="23" t="s">
        <v>295</v>
      </c>
    </row>
    <row r="40" spans="2:3">
      <c r="B40" s="5" t="s">
        <v>289</v>
      </c>
    </row>
    <row r="41" spans="2:3">
      <c r="B41" s="35" t="s">
        <v>274</v>
      </c>
    </row>
    <row r="42" spans="2:3">
      <c r="B42" s="35" t="s">
        <v>275</v>
      </c>
    </row>
    <row r="43" spans="2:3">
      <c r="B43" s="35" t="s">
        <v>276</v>
      </c>
    </row>
    <row r="44" spans="2:3">
      <c r="B44" s="5" t="s">
        <v>290</v>
      </c>
    </row>
    <row r="45" spans="2:3">
      <c r="B45" s="35" t="s">
        <v>272</v>
      </c>
    </row>
    <row r="46" spans="2:3">
      <c r="B46" s="35" t="s">
        <v>280</v>
      </c>
    </row>
    <row r="47" spans="2:3">
      <c r="B47" s="35" t="s">
        <v>273</v>
      </c>
    </row>
    <row r="48" spans="2:3">
      <c r="B48" s="35" t="s">
        <v>281</v>
      </c>
    </row>
    <row r="49" spans="2:2">
      <c r="B49" s="5" t="s">
        <v>277</v>
      </c>
    </row>
    <row r="50" spans="2:2">
      <c r="B50" s="35" t="s">
        <v>282</v>
      </c>
    </row>
    <row r="51" spans="2:2">
      <c r="B51" s="5" t="s">
        <v>283</v>
      </c>
    </row>
    <row r="52" spans="2:2">
      <c r="B52" s="35" t="s">
        <v>278</v>
      </c>
    </row>
    <row r="53" spans="2:2">
      <c r="B53" s="35" t="s">
        <v>279</v>
      </c>
    </row>
  </sheetData>
  <mergeCells count="2">
    <mergeCell ref="B10:L10"/>
    <mergeCell ref="B8:L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sent_to_problem_1">
                <anchor moveWithCells="1" sizeWithCells="1">
                  <from>
                    <xdr:col>3</xdr:col>
                    <xdr:colOff>676275</xdr:colOff>
                    <xdr:row>32</xdr:row>
                    <xdr:rowOff>19050</xdr:rowOff>
                  </from>
                  <to>
                    <xdr:col>5</xdr:col>
                    <xdr:colOff>400050</xdr:colOff>
                    <xdr:row>35</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249977111117893"/>
  </sheetPr>
  <dimension ref="A1:M108"/>
  <sheetViews>
    <sheetView showGridLines="0" zoomScale="90" zoomScaleNormal="90" workbookViewId="0">
      <selection activeCell="G3" sqref="G3"/>
    </sheetView>
  </sheetViews>
  <sheetFormatPr defaultColWidth="9" defaultRowHeight="12"/>
  <cols>
    <col min="1" max="1" width="9" style="5"/>
    <col min="2" max="2" width="19.85546875" style="5" bestFit="1" customWidth="1"/>
    <col min="3" max="4" width="18.140625" style="5" customWidth="1"/>
    <col min="5" max="5" width="33.85546875" style="5" bestFit="1" customWidth="1"/>
    <col min="6" max="6" width="30.140625" style="5" customWidth="1"/>
    <col min="7" max="7" width="20.42578125" style="5" customWidth="1"/>
    <col min="8" max="8" width="15.42578125" style="5" bestFit="1" customWidth="1"/>
    <col min="9" max="9" width="13.140625" style="5" bestFit="1" customWidth="1"/>
    <col min="10" max="12" width="13.140625" style="5" customWidth="1"/>
    <col min="13" max="13" width="27.85546875" style="5" customWidth="1"/>
    <col min="14" max="14" width="2.5703125" style="5" customWidth="1"/>
    <col min="15" max="15" width="49" style="5" customWidth="1"/>
    <col min="16" max="16384" width="9" style="5"/>
  </cols>
  <sheetData>
    <row r="1" spans="1:13" ht="12.75">
      <c r="A1" s="4" t="str">
        <f>'Cover Page'!A1</f>
        <v>Problem Solving With Excel</v>
      </c>
    </row>
    <row r="2" spans="1:13" ht="12.75">
      <c r="A2" s="4" t="str">
        <f>'Cover Page'!A2</f>
        <v>Week 2</v>
      </c>
    </row>
    <row r="3" spans="1:13" ht="12.75">
      <c r="A3" s="4">
        <f>'Cover Page'!A3</f>
        <v>0</v>
      </c>
    </row>
    <row r="4" spans="1:13" ht="12.75">
      <c r="A4" s="4" t="s">
        <v>0</v>
      </c>
    </row>
    <row r="6" spans="1:13">
      <c r="B6" s="23"/>
    </row>
    <row r="7" spans="1:13" ht="12.75" thickBot="1">
      <c r="D7" s="5" t="s">
        <v>284</v>
      </c>
      <c r="F7" s="5" t="s">
        <v>285</v>
      </c>
      <c r="G7" s="5" t="s">
        <v>286</v>
      </c>
      <c r="I7" s="5" t="s">
        <v>287</v>
      </c>
      <c r="J7" s="5" t="s">
        <v>287</v>
      </c>
      <c r="K7" s="5" t="s">
        <v>287</v>
      </c>
      <c r="M7" s="5" t="s">
        <v>288</v>
      </c>
    </row>
    <row r="8" spans="1:13" ht="15.75">
      <c r="B8" s="7" t="s">
        <v>15</v>
      </c>
      <c r="C8" s="10" t="s">
        <v>216</v>
      </c>
      <c r="D8" s="10" t="s">
        <v>231</v>
      </c>
      <c r="E8" s="11" t="s">
        <v>5</v>
      </c>
      <c r="F8" s="11" t="s">
        <v>232</v>
      </c>
      <c r="G8" s="11" t="s">
        <v>233</v>
      </c>
      <c r="H8" s="11" t="s">
        <v>17</v>
      </c>
      <c r="I8" s="11" t="s">
        <v>18</v>
      </c>
      <c r="J8" s="11" t="s">
        <v>227</v>
      </c>
      <c r="K8" s="11" t="s">
        <v>269</v>
      </c>
      <c r="L8" s="11" t="s">
        <v>9</v>
      </c>
      <c r="M8" s="11" t="s">
        <v>10</v>
      </c>
    </row>
    <row r="9" spans="1:13">
      <c r="B9" s="8">
        <f>VALUE(Data_Set_Raw!B8)</f>
        <v>23320</v>
      </c>
      <c r="C9" s="13" t="str">
        <f>Data_Set_Raw!C8</f>
        <v>lance little</v>
      </c>
      <c r="D9" s="13" t="str">
        <f>PROPER(RIGHT(C9,LEN(C9)-FIND(" ",C9,1)))</f>
        <v>Little</v>
      </c>
      <c r="E9" s="14" t="str">
        <f>Data_Set_Raw!D8</f>
        <v>Croatia</v>
      </c>
      <c r="F9" s="14"/>
      <c r="G9" s="14" t="str">
        <f>IFERROR(VLOOKUP(TRIM(Data_Set_Raw!F8),Data_Lookup_Ans!$C$8:$D$10,2,FALSE),TRIM(Data_Set_Raw!F8))</f>
        <v>Direct</v>
      </c>
      <c r="H9" s="30">
        <f>Data_Set_Raw!G8</f>
        <v>42531</v>
      </c>
      <c r="I9" s="14">
        <f>VALUE(Data_Set_Raw!H8)</f>
        <v>125</v>
      </c>
      <c r="J9" s="14" t="e">
        <f>VLOOKUP(F9,Data_Lookup_Ans!$C$14:$J$25,5,FALSE)</f>
        <v>#N/A</v>
      </c>
      <c r="K9" s="14" t="e">
        <f>VLOOKUP(F9,Data_Lookup_Ans!$C$14:$J$25,6,FALSE)</f>
        <v>#N/A</v>
      </c>
      <c r="L9" s="14">
        <f>Data_Set_Raw!I8</f>
        <v>6</v>
      </c>
      <c r="M9" s="31">
        <f>L9*I9</f>
        <v>750</v>
      </c>
    </row>
    <row r="10" spans="1:13">
      <c r="B10" s="8">
        <f>VALUE(Data_Set_Raw!B9)</f>
        <v>23325</v>
      </c>
      <c r="C10" s="13" t="str">
        <f>Data_Set_Raw!C9</f>
        <v>isadora mcclure</v>
      </c>
      <c r="D10" s="13" t="str">
        <f t="shared" ref="D10:D73" si="0">PROPER(RIGHT(C10,LEN(C10)-FIND(" ",C10,1)))</f>
        <v>Mcclure</v>
      </c>
      <c r="E10" s="14" t="str">
        <f>Data_Set_Raw!D9</f>
        <v>Indonesia</v>
      </c>
      <c r="F10" s="14" t="str">
        <f>IFERROR(VLOOKUP(Data_Set_Raw!E9,Data_Lookup_Ans!$C$14:$J$25,1,FALSE),VLOOKUP(Data_Set_Raw!E9,Data_Lookup_Ans!$D$14:$J$25,7,FALSE))</f>
        <v>PURA-200</v>
      </c>
      <c r="G10" s="14" t="str">
        <f>IFERROR(VLOOKUP(TRIM(Data_Set_Raw!F9),Data_Lookup_Ans!$C$8:$D$10,2,FALSE),TRIM(Data_Set_Raw!F9))</f>
        <v>Retail</v>
      </c>
      <c r="H10" s="30">
        <v>42563</v>
      </c>
      <c r="I10" s="14">
        <f>VALUE(Data_Set_Raw!H9)</f>
        <v>184</v>
      </c>
      <c r="J10" s="14">
        <f>VLOOKUP(F10,Data_Lookup_Ans!$C$14:$J$25,5,FALSE)</f>
        <v>200</v>
      </c>
      <c r="K10" s="14" t="str">
        <f>VLOOKUP(F10,Data_Lookup_Ans!$C$14:$J$25,6,FALSE)</f>
        <v>ml</v>
      </c>
      <c r="L10" s="14">
        <f>Data_Set_Raw!I9</f>
        <v>6</v>
      </c>
      <c r="M10" s="31">
        <f t="shared" ref="M10:M73" si="1">L10*I10</f>
        <v>1104</v>
      </c>
    </row>
    <row r="11" spans="1:13">
      <c r="B11" s="8">
        <f>VALUE(Data_Set_Raw!B10)</f>
        <v>23307</v>
      </c>
      <c r="C11" s="13" t="str">
        <f>Data_Set_Raw!C10</f>
        <v>oprah ellis</v>
      </c>
      <c r="D11" s="13" t="str">
        <f t="shared" si="0"/>
        <v>Ellis</v>
      </c>
      <c r="E11" s="14" t="str">
        <f>Data_Set_Raw!D10</f>
        <v>Dominican Republic</v>
      </c>
      <c r="F11" s="14" t="str">
        <f>IFERROR(VLOOKUP(Data_Set_Raw!E10,Data_Lookup_Ans!$C$14:$J$25,1,FALSE),VLOOKUP(Data_Set_Raw!E10,Data_Lookup_Ans!$D$14:$J$25,7,FALSE))</f>
        <v>PURA-100</v>
      </c>
      <c r="G11" s="14" t="str">
        <f>IFERROR(VLOOKUP(TRIM(Data_Set_Raw!F10),Data_Lookup_Ans!$C$8:$D$10,2,FALSE),TRIM(Data_Set_Raw!F10))</f>
        <v>Retail</v>
      </c>
      <c r="H11" s="30">
        <v>42565</v>
      </c>
      <c r="I11" s="14">
        <f>VALUE(Data_Set_Raw!H10)</f>
        <v>113</v>
      </c>
      <c r="J11" s="14">
        <f>VLOOKUP(F11,Data_Lookup_Ans!$C$14:$J$25,5,FALSE)</f>
        <v>100</v>
      </c>
      <c r="K11" s="14" t="str">
        <f>VLOOKUP(F11,Data_Lookup_Ans!$C$14:$J$25,6,FALSE)</f>
        <v>ml</v>
      </c>
      <c r="L11" s="14">
        <f>Data_Set_Raw!I10</f>
        <v>6</v>
      </c>
      <c r="M11" s="31">
        <f t="shared" si="1"/>
        <v>678</v>
      </c>
    </row>
    <row r="12" spans="1:13">
      <c r="B12" s="8">
        <f>VALUE(Data_Set_Raw!B11)</f>
        <v>23352</v>
      </c>
      <c r="C12" s="13" t="str">
        <f>Data_Set_Raw!C11</f>
        <v>iliana porter</v>
      </c>
      <c r="D12" s="13" t="str">
        <f t="shared" si="0"/>
        <v>Porter</v>
      </c>
      <c r="E12" s="14" t="str">
        <f>Data_Set_Raw!D11</f>
        <v>Poland</v>
      </c>
      <c r="F12" s="14" t="str">
        <f>IFERROR(VLOOKUP(Data_Set_Raw!E11,Data_Lookup_Ans!$C$14:$J$25,1,FALSE),VLOOKUP(Data_Set_Raw!E11,Data_Lookup_Ans!$D$14:$J$25,7,FALSE))</f>
        <v>SUPA-500</v>
      </c>
      <c r="G12" s="14" t="str">
        <f>IFERROR(VLOOKUP(TRIM(Data_Set_Raw!F11),Data_Lookup_Ans!$C$8:$D$10,2,FALSE),TRIM(Data_Set_Raw!F11))</f>
        <v>Online</v>
      </c>
      <c r="H12" s="30">
        <v>42240</v>
      </c>
      <c r="I12" s="14">
        <f>VALUE(Data_Set_Raw!H11)</f>
        <v>89</v>
      </c>
      <c r="J12" s="14">
        <f>VLOOKUP(F12,Data_Lookup_Ans!$C$14:$J$25,5,FALSE)</f>
        <v>500</v>
      </c>
      <c r="K12" s="14" t="str">
        <f>VLOOKUP(F12,Data_Lookup_Ans!$C$14:$J$25,6,FALSE)</f>
        <v>ml</v>
      </c>
      <c r="L12" s="14">
        <f>Data_Set_Raw!I11</f>
        <v>6</v>
      </c>
      <c r="M12" s="31">
        <f t="shared" si="1"/>
        <v>534</v>
      </c>
    </row>
    <row r="13" spans="1:13">
      <c r="B13" s="8">
        <f>VALUE(Data_Set_Raw!B12)</f>
        <v>23339</v>
      </c>
      <c r="C13" s="13" t="str">
        <f>Data_Set_Raw!C12</f>
        <v>basil vang</v>
      </c>
      <c r="D13" s="13" t="str">
        <f t="shared" si="0"/>
        <v>Vang</v>
      </c>
      <c r="E13" s="14" t="str">
        <f>Data_Set_Raw!D12</f>
        <v>Moldova</v>
      </c>
      <c r="F13" s="14" t="str">
        <f>IFERROR(VLOOKUP(Data_Set_Raw!E12,Data_Lookup_Ans!$C$14:$J$25,1,FALSE),VLOOKUP(Data_Set_Raw!E12,Data_Lookup_Ans!$D$14:$J$25,7,FALSE))</f>
        <v>SUPA-500</v>
      </c>
      <c r="G13" s="14" t="str">
        <f>IFERROR(VLOOKUP(TRIM(Data_Set_Raw!F12),Data_Lookup_Ans!$C$8:$D$10,2,FALSE),TRIM(Data_Set_Raw!F12))</f>
        <v>Online</v>
      </c>
      <c r="H13" s="30">
        <v>41833</v>
      </c>
      <c r="I13" s="14">
        <f>VALUE(Data_Set_Raw!H12)</f>
        <v>41</v>
      </c>
      <c r="J13" s="14">
        <f>VLOOKUP(F13,Data_Lookup_Ans!$C$14:$J$25,5,FALSE)</f>
        <v>500</v>
      </c>
      <c r="K13" s="14" t="str">
        <f>VLOOKUP(F13,Data_Lookup_Ans!$C$14:$J$25,6,FALSE)</f>
        <v>ml</v>
      </c>
      <c r="L13" s="14">
        <f>Data_Set_Raw!I12</f>
        <v>6</v>
      </c>
      <c r="M13" s="31">
        <f t="shared" si="1"/>
        <v>246</v>
      </c>
    </row>
    <row r="14" spans="1:13">
      <c r="B14" s="8">
        <f>VALUE(Data_Set_Raw!B13)</f>
        <v>23268</v>
      </c>
      <c r="C14" s="13" t="str">
        <f>Data_Set_Raw!C13</f>
        <v>latifah wall</v>
      </c>
      <c r="D14" s="13" t="str">
        <f t="shared" si="0"/>
        <v>Wall</v>
      </c>
      <c r="E14" s="14" t="str">
        <f>Data_Set_Raw!D13</f>
        <v>Saint Barthelemy</v>
      </c>
      <c r="F14" s="14" t="str">
        <f>IFERROR(VLOOKUP(Data_Set_Raw!E13,Data_Lookup_Ans!$C$14:$J$25,1,FALSE),VLOOKUP(Data_Set_Raw!E13,Data_Lookup_Ans!$D$14:$J$25,7,FALSE))</f>
        <v>SUPA-2000</v>
      </c>
      <c r="G14" s="14" t="str">
        <f>IFERROR(VLOOKUP(TRIM(Data_Set_Raw!F13),Data_Lookup_Ans!$C$8:$D$10,2,FALSE),TRIM(Data_Set_Raw!F13))</f>
        <v>Online</v>
      </c>
      <c r="H14" s="30">
        <v>41796</v>
      </c>
      <c r="I14" s="14">
        <f>VALUE(Data_Set_Raw!H13)</f>
        <v>82</v>
      </c>
      <c r="J14" s="14">
        <f>VLOOKUP(F14,Data_Lookup_Ans!$C$14:$J$25,5,FALSE)</f>
        <v>2000</v>
      </c>
      <c r="K14" s="14" t="str">
        <f>VLOOKUP(F14,Data_Lookup_Ans!$C$14:$J$25,6,FALSE)</f>
        <v>ml</v>
      </c>
      <c r="L14" s="14">
        <f>Data_Set_Raw!I13</f>
        <v>6</v>
      </c>
      <c r="M14" s="31">
        <f t="shared" si="1"/>
        <v>492</v>
      </c>
    </row>
    <row r="15" spans="1:13">
      <c r="B15" s="8">
        <f>VALUE(Data_Set_Raw!B14)</f>
        <v>23357</v>
      </c>
      <c r="C15" s="13" t="str">
        <f>Data_Set_Raw!C14</f>
        <v>cyrus whitley</v>
      </c>
      <c r="D15" s="13" t="str">
        <f t="shared" si="0"/>
        <v>Whitley</v>
      </c>
      <c r="E15" s="14" t="str">
        <f>Data_Set_Raw!D14</f>
        <v>Denmark</v>
      </c>
      <c r="F15" s="14" t="str">
        <f>IFERROR(VLOOKUP(Data_Set_Raw!E14,Data_Lookup_Ans!$C$14:$J$25,1,FALSE),VLOOKUP(Data_Set_Raw!E14,Data_Lookup_Ans!$D$14:$J$25,7,FALSE))</f>
        <v>DETA-200</v>
      </c>
      <c r="G15" s="14" t="str">
        <f>IFERROR(VLOOKUP(TRIM(Data_Set_Raw!F14),Data_Lookup_Ans!$C$8:$D$10,2,FALSE),TRIM(Data_Set_Raw!F14))</f>
        <v>Retail</v>
      </c>
      <c r="H15" s="30">
        <v>42182</v>
      </c>
      <c r="I15" s="14">
        <f>VALUE(Data_Set_Raw!H14)</f>
        <v>50</v>
      </c>
      <c r="J15" s="14">
        <f>VLOOKUP(F15,Data_Lookup_Ans!$C$14:$J$25,5,FALSE)</f>
        <v>200</v>
      </c>
      <c r="K15" s="14" t="str">
        <f>VLOOKUP(F15,Data_Lookup_Ans!$C$14:$J$25,6,FALSE)</f>
        <v>ml</v>
      </c>
      <c r="L15" s="14">
        <f>Data_Set_Raw!I14</f>
        <v>6</v>
      </c>
      <c r="M15" s="31">
        <f t="shared" si="1"/>
        <v>300</v>
      </c>
    </row>
    <row r="16" spans="1:13">
      <c r="B16" s="8">
        <f>VALUE(Data_Set_Raw!B15)</f>
        <v>23282</v>
      </c>
      <c r="C16" s="13" t="str">
        <f>Data_Set_Raw!C15</f>
        <v>amir alexander</v>
      </c>
      <c r="D16" s="13" t="str">
        <f t="shared" si="0"/>
        <v>Alexander</v>
      </c>
      <c r="E16" s="14" t="str">
        <f>Data_Set_Raw!D15</f>
        <v>Liberia</v>
      </c>
      <c r="F16" s="14" t="str">
        <f>IFERROR(VLOOKUP(Data_Set_Raw!E15,Data_Lookup_Ans!$C$14:$J$25,1,FALSE),VLOOKUP(Data_Set_Raw!E15,Data_Lookup_Ans!$D$14:$J$25,7,FALSE))</f>
        <v>PURA-100</v>
      </c>
      <c r="G16" s="14" t="str">
        <f>IFERROR(VLOOKUP(TRIM(Data_Set_Raw!F15),Data_Lookup_Ans!$C$8:$D$10,2,FALSE),TRIM(Data_Set_Raw!F15))</f>
        <v>Retail</v>
      </c>
      <c r="H16" s="30">
        <v>41804</v>
      </c>
      <c r="I16" s="14">
        <f>VALUE(Data_Set_Raw!H15)</f>
        <v>100</v>
      </c>
      <c r="J16" s="14">
        <f>VLOOKUP(F16,Data_Lookup_Ans!$C$14:$J$25,5,FALSE)</f>
        <v>100</v>
      </c>
      <c r="K16" s="14" t="str">
        <f>VLOOKUP(F16,Data_Lookup_Ans!$C$14:$J$25,6,FALSE)</f>
        <v>ml</v>
      </c>
      <c r="L16" s="14">
        <f>Data_Set_Raw!I15</f>
        <v>6</v>
      </c>
      <c r="M16" s="31">
        <f t="shared" si="1"/>
        <v>600</v>
      </c>
    </row>
    <row r="17" spans="2:13">
      <c r="B17" s="8">
        <f>VALUE(Data_Set_Raw!B16)</f>
        <v>23306</v>
      </c>
      <c r="C17" s="13" t="str">
        <f>Data_Set_Raw!C16</f>
        <v>ima cummings</v>
      </c>
      <c r="D17" s="13" t="str">
        <f t="shared" si="0"/>
        <v>Cummings</v>
      </c>
      <c r="E17" s="14" t="str">
        <f>Data_Set_Raw!D16</f>
        <v>Philippines</v>
      </c>
      <c r="F17" s="14" t="str">
        <f>IFERROR(VLOOKUP(Data_Set_Raw!E16,Data_Lookup_Ans!$C$14:$J$25,1,FALSE),VLOOKUP(Data_Set_Raw!E16,Data_Lookup_Ans!$D$14:$J$25,7,FALSE))</f>
        <v>SUPA-2000</v>
      </c>
      <c r="G17" s="14" t="str">
        <f>IFERROR(VLOOKUP(TRIM(Data_Set_Raw!F16),Data_Lookup_Ans!$C$8:$D$10,2,FALSE),TRIM(Data_Set_Raw!F16))</f>
        <v>Online</v>
      </c>
      <c r="H17" s="30">
        <v>42198</v>
      </c>
      <c r="I17" s="14">
        <f>VALUE(Data_Set_Raw!H16)</f>
        <v>93</v>
      </c>
      <c r="J17" s="14">
        <f>VLOOKUP(F17,Data_Lookup_Ans!$C$14:$J$25,5,FALSE)</f>
        <v>2000</v>
      </c>
      <c r="K17" s="14" t="str">
        <f>VLOOKUP(F17,Data_Lookup_Ans!$C$14:$J$25,6,FALSE)</f>
        <v>ml</v>
      </c>
      <c r="L17" s="14">
        <f>Data_Set_Raw!I16</f>
        <v>6.5</v>
      </c>
      <c r="M17" s="31">
        <f t="shared" si="1"/>
        <v>604.5</v>
      </c>
    </row>
    <row r="18" spans="2:13">
      <c r="B18" s="8">
        <f>VALUE(Data_Set_Raw!B17)</f>
        <v>23263</v>
      </c>
      <c r="C18" s="13" t="str">
        <f>Data_Set_Raw!C17</f>
        <v>xerxes smith</v>
      </c>
      <c r="D18" s="13" t="str">
        <f t="shared" si="0"/>
        <v>Smith</v>
      </c>
      <c r="E18" s="14" t="str">
        <f>Data_Set_Raw!D17</f>
        <v>Panama</v>
      </c>
      <c r="F18" s="14" t="str">
        <f>IFERROR(VLOOKUP(Data_Set_Raw!E17,Data_Lookup_Ans!$C$14:$J$25,1,FALSE),VLOOKUP(Data_Set_Raw!E17,Data_Lookup_Ans!$D$14:$J$25,7,FALSE))</f>
        <v>SUPA-1000</v>
      </c>
      <c r="G18" s="14" t="str">
        <f>IFERROR(VLOOKUP(TRIM(Data_Set_Raw!F17),Data_Lookup_Ans!$C$8:$D$10,2,FALSE),TRIM(Data_Set_Raw!F17))</f>
        <v>Online</v>
      </c>
      <c r="H18" s="30">
        <v>42545</v>
      </c>
      <c r="I18" s="14">
        <f>VALUE(Data_Set_Raw!H17)</f>
        <v>73</v>
      </c>
      <c r="J18" s="14">
        <f>VLOOKUP(F18,Data_Lookup_Ans!$C$14:$J$25,5,FALSE)</f>
        <v>1000</v>
      </c>
      <c r="K18" s="14" t="str">
        <f>VLOOKUP(F18,Data_Lookup_Ans!$C$14:$J$25,6,FALSE)</f>
        <v>ml</v>
      </c>
      <c r="L18" s="14">
        <f>Data_Set_Raw!I17</f>
        <v>6.5</v>
      </c>
      <c r="M18" s="31">
        <f t="shared" si="1"/>
        <v>474.5</v>
      </c>
    </row>
    <row r="19" spans="2:13">
      <c r="B19" s="8">
        <f>VALUE(Data_Set_Raw!B18)</f>
        <v>23318</v>
      </c>
      <c r="C19" s="13" t="str">
        <f>Data_Set_Raw!C18</f>
        <v>shea cortez</v>
      </c>
      <c r="D19" s="13" t="str">
        <f t="shared" si="0"/>
        <v>Cortez</v>
      </c>
      <c r="E19" s="14" t="str">
        <f>Data_Set_Raw!D18</f>
        <v>India</v>
      </c>
      <c r="F19" s="14" t="str">
        <f>IFERROR(VLOOKUP(Data_Set_Raw!E18,Data_Lookup_Ans!$C$14:$J$25,1,FALSE),VLOOKUP(Data_Set_Raw!E18,Data_Lookup_Ans!$D$14:$J$25,7,FALSE))</f>
        <v>SUPA-2000</v>
      </c>
      <c r="G19" s="14" t="str">
        <f>IFERROR(VLOOKUP(TRIM(Data_Set_Raw!F18),Data_Lookup_Ans!$C$8:$D$10,2,FALSE),TRIM(Data_Set_Raw!F18))</f>
        <v>Online</v>
      </c>
      <c r="H19" s="30">
        <v>42233</v>
      </c>
      <c r="I19" s="14">
        <f>VALUE(Data_Set_Raw!H18)</f>
        <v>48</v>
      </c>
      <c r="J19" s="14">
        <f>VLOOKUP(F19,Data_Lookup_Ans!$C$14:$J$25,5,FALSE)</f>
        <v>2000</v>
      </c>
      <c r="K19" s="14" t="str">
        <f>VLOOKUP(F19,Data_Lookup_Ans!$C$14:$J$25,6,FALSE)</f>
        <v>ml</v>
      </c>
      <c r="L19" s="14">
        <f>Data_Set_Raw!I18</f>
        <v>6.5</v>
      </c>
      <c r="M19" s="31">
        <f t="shared" si="1"/>
        <v>312</v>
      </c>
    </row>
    <row r="20" spans="2:13">
      <c r="B20" s="8">
        <f>VALUE(Data_Set_Raw!B19)</f>
        <v>23349</v>
      </c>
      <c r="C20" s="13" t="str">
        <f>Data_Set_Raw!C19</f>
        <v>amery frazier</v>
      </c>
      <c r="D20" s="13" t="str">
        <f t="shared" si="0"/>
        <v>Frazier</v>
      </c>
      <c r="E20" s="14" t="str">
        <f>Data_Set_Raw!D19</f>
        <v>Georgia</v>
      </c>
      <c r="F20" s="14" t="str">
        <f>IFERROR(VLOOKUP(Data_Set_Raw!E19,Data_Lookup_Ans!$C$14:$J$25,1,FALSE),VLOOKUP(Data_Set_Raw!E19,Data_Lookup_Ans!$D$14:$J$25,7,FALSE))</f>
        <v>SUPA-500</v>
      </c>
      <c r="G20" s="14" t="str">
        <f>IFERROR(VLOOKUP(TRIM(Data_Set_Raw!F19),Data_Lookup_Ans!$C$8:$D$10,2,FALSE),TRIM(Data_Set_Raw!F19))</f>
        <v>Retail</v>
      </c>
      <c r="H20" s="30">
        <v>42596</v>
      </c>
      <c r="I20" s="14">
        <f>VALUE(Data_Set_Raw!H19)</f>
        <v>126</v>
      </c>
      <c r="J20" s="14">
        <f>VLOOKUP(F20,Data_Lookup_Ans!$C$14:$J$25,5,FALSE)</f>
        <v>500</v>
      </c>
      <c r="K20" s="14" t="str">
        <f>VLOOKUP(F20,Data_Lookup_Ans!$C$14:$J$25,6,FALSE)</f>
        <v>ml</v>
      </c>
      <c r="L20" s="14">
        <f>Data_Set_Raw!I19</f>
        <v>6.5</v>
      </c>
      <c r="M20" s="31">
        <f t="shared" si="1"/>
        <v>819</v>
      </c>
    </row>
    <row r="21" spans="2:13">
      <c r="B21" s="8">
        <f>VALUE(Data_Set_Raw!B20)</f>
        <v>23373</v>
      </c>
      <c r="C21" s="13" t="str">
        <f>Data_Set_Raw!C20</f>
        <v>maite henson</v>
      </c>
      <c r="D21" s="13" t="str">
        <f t="shared" si="0"/>
        <v>Henson</v>
      </c>
      <c r="E21" s="14" t="str">
        <f>Data_Set_Raw!D20</f>
        <v>Bangladesh</v>
      </c>
      <c r="F21" s="14" t="str">
        <f>IFERROR(VLOOKUP(Data_Set_Raw!E20,Data_Lookup_Ans!$C$14:$J$25,1,FALSE),VLOOKUP(Data_Set_Raw!E20,Data_Lookup_Ans!$D$14:$J$25,7,FALSE))</f>
        <v>SUPA-1000</v>
      </c>
      <c r="G21" s="14" t="str">
        <f>IFERROR(VLOOKUP(TRIM(Data_Set_Raw!F20),Data_Lookup_Ans!$C$8:$D$10,2,FALSE),TRIM(Data_Set_Raw!F20))</f>
        <v>Online</v>
      </c>
      <c r="H21" s="30">
        <v>42199</v>
      </c>
      <c r="I21" s="14">
        <f>VALUE(Data_Set_Raw!H20)</f>
        <v>95</v>
      </c>
      <c r="J21" s="14">
        <f>VLOOKUP(F21,Data_Lookup_Ans!$C$14:$J$25,5,FALSE)</f>
        <v>1000</v>
      </c>
      <c r="K21" s="14" t="str">
        <f>VLOOKUP(F21,Data_Lookup_Ans!$C$14:$J$25,6,FALSE)</f>
        <v>ml</v>
      </c>
      <c r="L21" s="14">
        <f>Data_Set_Raw!I20</f>
        <v>6.5</v>
      </c>
      <c r="M21" s="31">
        <f t="shared" si="1"/>
        <v>617.5</v>
      </c>
    </row>
    <row r="22" spans="2:13">
      <c r="B22" s="8">
        <f>VALUE(Data_Set_Raw!B21)</f>
        <v>23272</v>
      </c>
      <c r="C22" s="13" t="str">
        <f>Data_Set_Raw!C21</f>
        <v>anjolie hicks</v>
      </c>
      <c r="D22" s="13" t="str">
        <f t="shared" si="0"/>
        <v>Hicks</v>
      </c>
      <c r="E22" s="14" t="str">
        <f>Data_Set_Raw!D21</f>
        <v>Turks and Caicos Islands</v>
      </c>
      <c r="F22" s="14" t="str">
        <f>IFERROR(VLOOKUP(Data_Set_Raw!E21,Data_Lookup_Ans!$C$14:$J$25,1,FALSE),VLOOKUP(Data_Set_Raw!E21,Data_Lookup_Ans!$D$14:$J$25,7,FALSE))</f>
        <v>DETA-100</v>
      </c>
      <c r="G22" s="14" t="str">
        <f>IFERROR(VLOOKUP(TRIM(Data_Set_Raw!F21),Data_Lookup_Ans!$C$8:$D$10,2,FALSE),TRIM(Data_Set_Raw!F21))</f>
        <v>Direct</v>
      </c>
      <c r="H22" s="30">
        <v>42589</v>
      </c>
      <c r="I22" s="14">
        <f>VALUE(Data_Set_Raw!H21)</f>
        <v>71</v>
      </c>
      <c r="J22" s="14">
        <f>VLOOKUP(F22,Data_Lookup_Ans!$C$14:$J$25,5,FALSE)</f>
        <v>100</v>
      </c>
      <c r="K22" s="14" t="str">
        <f>VLOOKUP(F22,Data_Lookup_Ans!$C$14:$J$25,6,FALSE)</f>
        <v>ml</v>
      </c>
      <c r="L22" s="14">
        <f>Data_Set_Raw!I21</f>
        <v>6.5</v>
      </c>
      <c r="M22" s="31">
        <f t="shared" si="1"/>
        <v>461.5</v>
      </c>
    </row>
    <row r="23" spans="2:13">
      <c r="B23" s="8">
        <f>VALUE(Data_Set_Raw!B22)</f>
        <v>23327</v>
      </c>
      <c r="C23" s="13" t="str">
        <f>Data_Set_Raw!C22</f>
        <v>fletcher jimenez</v>
      </c>
      <c r="D23" s="13" t="str">
        <f t="shared" si="0"/>
        <v>Jimenez</v>
      </c>
      <c r="E23" s="14" t="str">
        <f>Data_Set_Raw!D22</f>
        <v>Chad</v>
      </c>
      <c r="F23" s="14" t="str">
        <f>IFERROR(VLOOKUP(Data_Set_Raw!E22,Data_Lookup_Ans!$C$14:$J$25,1,FALSE),VLOOKUP(Data_Set_Raw!E22,Data_Lookup_Ans!$D$14:$J$25,7,FALSE))</f>
        <v>PURA-500</v>
      </c>
      <c r="G23" s="14" t="str">
        <f>IFERROR(VLOOKUP(TRIM(Data_Set_Raw!F22),Data_Lookup_Ans!$C$8:$D$10,2,FALSE),TRIM(Data_Set_Raw!F22))</f>
        <v>Retail</v>
      </c>
      <c r="H23" s="30">
        <v>41873</v>
      </c>
      <c r="I23" s="14">
        <f>VALUE(Data_Set_Raw!H22)</f>
        <v>176</v>
      </c>
      <c r="J23" s="14">
        <f>VLOOKUP(F23,Data_Lookup_Ans!$C$14:$J$25,5,FALSE)</f>
        <v>500</v>
      </c>
      <c r="K23" s="14" t="str">
        <f>VLOOKUP(F23,Data_Lookup_Ans!$C$14:$J$25,6,FALSE)</f>
        <v>ml</v>
      </c>
      <c r="L23" s="14">
        <f>Data_Set_Raw!I22</f>
        <v>6.5</v>
      </c>
      <c r="M23" s="31">
        <f t="shared" si="1"/>
        <v>1144</v>
      </c>
    </row>
    <row r="24" spans="2:13">
      <c r="B24" s="8">
        <f>VALUE(Data_Set_Raw!B23)</f>
        <v>23344</v>
      </c>
      <c r="C24" s="13" t="str">
        <f>Data_Set_Raw!C23</f>
        <v>winifred cantu</v>
      </c>
      <c r="D24" s="13" t="str">
        <f t="shared" si="0"/>
        <v>Cantu</v>
      </c>
      <c r="E24" s="14" t="str">
        <f>Data_Set_Raw!D23</f>
        <v>Kazakhstan</v>
      </c>
      <c r="F24" s="14" t="str">
        <f>IFERROR(VLOOKUP(Data_Set_Raw!E23,Data_Lookup_Ans!$C$14:$J$25,1,FALSE),VLOOKUP(Data_Set_Raw!E23,Data_Lookup_Ans!$D$14:$J$25,7,FALSE))</f>
        <v>PURA-250</v>
      </c>
      <c r="G24" s="14" t="str">
        <f>IFERROR(VLOOKUP(TRIM(Data_Set_Raw!F23),Data_Lookup_Ans!$C$8:$D$10,2,FALSE),TRIM(Data_Set_Raw!F23))</f>
        <v>Online</v>
      </c>
      <c r="H24" s="30">
        <v>41871</v>
      </c>
      <c r="I24" s="14">
        <f>VALUE(Data_Set_Raw!H23)</f>
        <v>64</v>
      </c>
      <c r="J24" s="14">
        <f>VLOOKUP(F24,Data_Lookup_Ans!$C$14:$J$25,5,FALSE)</f>
        <v>250</v>
      </c>
      <c r="K24" s="14" t="str">
        <f>VLOOKUP(F24,Data_Lookup_Ans!$C$14:$J$25,6,FALSE)</f>
        <v>ml</v>
      </c>
      <c r="L24" s="14">
        <f>Data_Set_Raw!I23</f>
        <v>6.5</v>
      </c>
      <c r="M24" s="31">
        <f t="shared" si="1"/>
        <v>416</v>
      </c>
    </row>
    <row r="25" spans="2:13">
      <c r="B25" s="8">
        <f>VALUE(Data_Set_Raw!B24)</f>
        <v>23294</v>
      </c>
      <c r="C25" s="13" t="str">
        <f>Data_Set_Raw!C24</f>
        <v>samuel ayala</v>
      </c>
      <c r="D25" s="13" t="str">
        <f t="shared" si="0"/>
        <v>Ayala</v>
      </c>
      <c r="E25" s="14" t="str">
        <f>Data_Set_Raw!D24</f>
        <v>Brazil</v>
      </c>
      <c r="F25" s="14" t="str">
        <f>IFERROR(VLOOKUP(Data_Set_Raw!E24,Data_Lookup_Ans!$C$14:$J$25,1,FALSE),VLOOKUP(Data_Set_Raw!E24,Data_Lookup_Ans!$D$14:$J$25,7,FALSE))</f>
        <v>PURA-250</v>
      </c>
      <c r="G25" s="14" t="str">
        <f>IFERROR(VLOOKUP(TRIM(Data_Set_Raw!F24),Data_Lookup_Ans!$C$8:$D$10,2,FALSE),TRIM(Data_Set_Raw!F24))</f>
        <v>Retail</v>
      </c>
      <c r="H25" s="30">
        <v>42199</v>
      </c>
      <c r="I25" s="14">
        <f>VALUE(Data_Set_Raw!H24)</f>
        <v>160</v>
      </c>
      <c r="J25" s="14">
        <f>VLOOKUP(F25,Data_Lookup_Ans!$C$14:$J$25,5,FALSE)</f>
        <v>250</v>
      </c>
      <c r="K25" s="14" t="str">
        <f>VLOOKUP(F25,Data_Lookup_Ans!$C$14:$J$25,6,FALSE)</f>
        <v>ml</v>
      </c>
      <c r="L25" s="14">
        <f>Data_Set_Raw!I24</f>
        <v>9</v>
      </c>
      <c r="M25" s="31">
        <f t="shared" si="1"/>
        <v>1440</v>
      </c>
    </row>
    <row r="26" spans="2:13">
      <c r="B26" s="8">
        <f>VALUE(Data_Set_Raw!B25)</f>
        <v>23350</v>
      </c>
      <c r="C26" s="13" t="str">
        <f>Data_Set_Raw!C25</f>
        <v>hiroko acevedo</v>
      </c>
      <c r="D26" s="13" t="str">
        <f t="shared" si="0"/>
        <v>Acevedo</v>
      </c>
      <c r="E26" s="14" t="str">
        <f>Data_Set_Raw!D25</f>
        <v>Burundi</v>
      </c>
      <c r="F26" s="14" t="str">
        <f>IFERROR(VLOOKUP(Data_Set_Raw!E25,Data_Lookup_Ans!$C$14:$J$25,1,FALSE),VLOOKUP(Data_Set_Raw!E25,Data_Lookup_Ans!$D$14:$J$25,7,FALSE))</f>
        <v>SUPA-1000</v>
      </c>
      <c r="G26" s="14" t="str">
        <f>IFERROR(VLOOKUP(TRIM(Data_Set_Raw!F25),Data_Lookup_Ans!$C$8:$D$10,2,FALSE),TRIM(Data_Set_Raw!F25))</f>
        <v>Online</v>
      </c>
      <c r="H26" s="30">
        <v>41798</v>
      </c>
      <c r="I26" s="14">
        <f>VALUE(Data_Set_Raw!H25)</f>
        <v>188</v>
      </c>
      <c r="J26" s="14">
        <f>VLOOKUP(F26,Data_Lookup_Ans!$C$14:$J$25,5,FALSE)</f>
        <v>1000</v>
      </c>
      <c r="K26" s="14" t="str">
        <f>VLOOKUP(F26,Data_Lookup_Ans!$C$14:$J$25,6,FALSE)</f>
        <v>ml</v>
      </c>
      <c r="L26" s="14">
        <f>Data_Set_Raw!I25</f>
        <v>9</v>
      </c>
      <c r="M26" s="31">
        <f t="shared" si="1"/>
        <v>1692</v>
      </c>
    </row>
    <row r="27" spans="2:13">
      <c r="B27" s="8">
        <f>VALUE(Data_Set_Raw!B26)</f>
        <v>23347</v>
      </c>
      <c r="C27" s="13" t="str">
        <f>Data_Set_Raw!C26</f>
        <v>nell maddox</v>
      </c>
      <c r="D27" s="13" t="str">
        <f t="shared" si="0"/>
        <v>Maddox</v>
      </c>
      <c r="E27" s="14" t="str">
        <f>Data_Set_Raw!D26</f>
        <v>Azerbaijan</v>
      </c>
      <c r="F27" s="14" t="str">
        <f>IFERROR(VLOOKUP(Data_Set_Raw!E26,Data_Lookup_Ans!$C$14:$J$25,1,FALSE),VLOOKUP(Data_Set_Raw!E26,Data_Lookup_Ans!$D$14:$J$25,7,FALSE))</f>
        <v>SUPA-2000</v>
      </c>
      <c r="G27" s="14" t="str">
        <f>IFERROR(VLOOKUP(TRIM(Data_Set_Raw!F26),Data_Lookup_Ans!$C$8:$D$10,2,FALSE),TRIM(Data_Set_Raw!F26))</f>
        <v>Online</v>
      </c>
      <c r="H27" s="30">
        <v>41872</v>
      </c>
      <c r="I27" s="14">
        <f>VALUE(Data_Set_Raw!H26)</f>
        <v>147</v>
      </c>
      <c r="J27" s="14">
        <f>VLOOKUP(F27,Data_Lookup_Ans!$C$14:$J$25,5,FALSE)</f>
        <v>2000</v>
      </c>
      <c r="K27" s="14" t="str">
        <f>VLOOKUP(F27,Data_Lookup_Ans!$C$14:$J$25,6,FALSE)</f>
        <v>ml</v>
      </c>
      <c r="L27" s="14">
        <f>Data_Set_Raw!I26</f>
        <v>9</v>
      </c>
      <c r="M27" s="31">
        <f t="shared" si="1"/>
        <v>1323</v>
      </c>
    </row>
    <row r="28" spans="2:13">
      <c r="B28" s="8">
        <f>VALUE(Data_Set_Raw!B27)</f>
        <v>23364</v>
      </c>
      <c r="C28" s="13" t="str">
        <f>Data_Set_Raw!C27</f>
        <v>mercedes humphrey</v>
      </c>
      <c r="D28" s="13" t="str">
        <f t="shared" si="0"/>
        <v>Humphrey</v>
      </c>
      <c r="E28" s="14" t="str">
        <f>Data_Set_Raw!D27</f>
        <v>Turkey</v>
      </c>
      <c r="F28" s="14" t="str">
        <f>IFERROR(VLOOKUP(Data_Set_Raw!E27,Data_Lookup_Ans!$C$14:$J$25,1,FALSE),VLOOKUP(Data_Set_Raw!E27,Data_Lookup_Ans!$D$14:$J$25,7,FALSE))</f>
        <v>PURA-100</v>
      </c>
      <c r="G28" s="14" t="str">
        <f>IFERROR(VLOOKUP(TRIM(Data_Set_Raw!F27),Data_Lookup_Ans!$C$8:$D$10,2,FALSE),TRIM(Data_Set_Raw!F27))</f>
        <v>Online</v>
      </c>
      <c r="H28" s="30">
        <v>42207</v>
      </c>
      <c r="I28" s="14">
        <f>VALUE(Data_Set_Raw!H27)</f>
        <v>47</v>
      </c>
      <c r="J28" s="14">
        <f>VLOOKUP(F28,Data_Lookup_Ans!$C$14:$J$25,5,FALSE)</f>
        <v>100</v>
      </c>
      <c r="K28" s="14" t="str">
        <f>VLOOKUP(F28,Data_Lookup_Ans!$C$14:$J$25,6,FALSE)</f>
        <v>ml</v>
      </c>
      <c r="L28" s="14">
        <f>Data_Set_Raw!I27</f>
        <v>9</v>
      </c>
      <c r="M28" s="31">
        <f t="shared" si="1"/>
        <v>423</v>
      </c>
    </row>
    <row r="29" spans="2:13">
      <c r="B29" s="8">
        <f>VALUE(Data_Set_Raw!B28)</f>
        <v>23275</v>
      </c>
      <c r="C29" s="13" t="str">
        <f>Data_Set_Raw!C28</f>
        <v>ethan gregory</v>
      </c>
      <c r="D29" s="13" t="str">
        <f t="shared" si="0"/>
        <v>Gregory</v>
      </c>
      <c r="E29" s="14" t="str">
        <f>Data_Set_Raw!D28</f>
        <v>Tuvalu</v>
      </c>
      <c r="F29" s="14" t="str">
        <f>IFERROR(VLOOKUP(Data_Set_Raw!E28,Data_Lookup_Ans!$C$14:$J$25,1,FALSE),VLOOKUP(Data_Set_Raw!E28,Data_Lookup_Ans!$D$14:$J$25,7,FALSE))</f>
        <v>PURA-200</v>
      </c>
      <c r="G29" s="14" t="str">
        <f>IFERROR(VLOOKUP(TRIM(Data_Set_Raw!F28),Data_Lookup_Ans!$C$8:$D$10,2,FALSE),TRIM(Data_Set_Raw!F28))</f>
        <v>Retail</v>
      </c>
      <c r="H29" s="30">
        <v>42225</v>
      </c>
      <c r="I29" s="14">
        <f>VALUE(Data_Set_Raw!H28)</f>
        <v>141</v>
      </c>
      <c r="J29" s="14">
        <f>VLOOKUP(F29,Data_Lookup_Ans!$C$14:$J$25,5,FALSE)</f>
        <v>200</v>
      </c>
      <c r="K29" s="14" t="str">
        <f>VLOOKUP(F29,Data_Lookup_Ans!$C$14:$J$25,6,FALSE)</f>
        <v>ml</v>
      </c>
      <c r="L29" s="14">
        <f>Data_Set_Raw!I28</f>
        <v>9</v>
      </c>
      <c r="M29" s="31">
        <f t="shared" si="1"/>
        <v>1269</v>
      </c>
    </row>
    <row r="30" spans="2:13">
      <c r="B30" s="8">
        <f>VALUE(Data_Set_Raw!B29)</f>
        <v>23286</v>
      </c>
      <c r="C30" s="13" t="str">
        <f>Data_Set_Raw!C29</f>
        <v>renee padilla</v>
      </c>
      <c r="D30" s="13" t="str">
        <f t="shared" si="0"/>
        <v>Padilla</v>
      </c>
      <c r="E30" s="14" t="str">
        <f>Data_Set_Raw!D29</f>
        <v>Yemen</v>
      </c>
      <c r="F30" s="14" t="str">
        <f>IFERROR(VLOOKUP(Data_Set_Raw!E29,Data_Lookup_Ans!$C$14:$J$25,1,FALSE),VLOOKUP(Data_Set_Raw!E29,Data_Lookup_Ans!$D$14:$J$25,7,FALSE))</f>
        <v>DETA-800</v>
      </c>
      <c r="G30" s="14" t="str">
        <f>IFERROR(VLOOKUP(TRIM(Data_Set_Raw!F29),Data_Lookup_Ans!$C$8:$D$10,2,FALSE),TRIM(Data_Set_Raw!F29))</f>
        <v>Online</v>
      </c>
      <c r="H30" s="30">
        <v>42156</v>
      </c>
      <c r="I30" s="14">
        <f>VALUE(Data_Set_Raw!H29)</f>
        <v>69</v>
      </c>
      <c r="J30" s="14">
        <f>VLOOKUP(F30,Data_Lookup_Ans!$C$14:$J$25,5,FALSE)</f>
        <v>800</v>
      </c>
      <c r="K30" s="14" t="str">
        <f>VLOOKUP(F30,Data_Lookup_Ans!$C$14:$J$25,6,FALSE)</f>
        <v>ml</v>
      </c>
      <c r="L30" s="14">
        <f>Data_Set_Raw!I29</f>
        <v>9</v>
      </c>
      <c r="M30" s="31">
        <f t="shared" si="1"/>
        <v>621</v>
      </c>
    </row>
    <row r="31" spans="2:13">
      <c r="B31" s="8">
        <f>VALUE(Data_Set_Raw!B30)</f>
        <v>23290</v>
      </c>
      <c r="C31" s="13" t="str">
        <f>Data_Set_Raw!C30</f>
        <v>rama goodwin</v>
      </c>
      <c r="D31" s="13" t="str">
        <f t="shared" si="0"/>
        <v>Goodwin</v>
      </c>
      <c r="E31" s="14" t="str">
        <f>Data_Set_Raw!D30</f>
        <v>Tunisia</v>
      </c>
      <c r="F31" s="14" t="str">
        <f>IFERROR(VLOOKUP(Data_Set_Raw!E30,Data_Lookup_Ans!$C$14:$J$25,1,FALSE),VLOOKUP(Data_Set_Raw!E30,Data_Lookup_Ans!$D$14:$J$25,7,FALSE))</f>
        <v>DETA-100</v>
      </c>
      <c r="G31" s="14" t="str">
        <f>IFERROR(VLOOKUP(TRIM(Data_Set_Raw!F30),Data_Lookup_Ans!$C$8:$D$10,2,FALSE),TRIM(Data_Set_Raw!F30))</f>
        <v>Online</v>
      </c>
      <c r="H31" s="30">
        <v>42567</v>
      </c>
      <c r="I31" s="14">
        <f>VALUE(Data_Set_Raw!H30)</f>
        <v>170</v>
      </c>
      <c r="J31" s="14">
        <f>VLOOKUP(F31,Data_Lookup_Ans!$C$14:$J$25,5,FALSE)</f>
        <v>100</v>
      </c>
      <c r="K31" s="14" t="str">
        <f>VLOOKUP(F31,Data_Lookup_Ans!$C$14:$J$25,6,FALSE)</f>
        <v>ml</v>
      </c>
      <c r="L31" s="14">
        <f>Data_Set_Raw!I30</f>
        <v>9</v>
      </c>
      <c r="M31" s="31">
        <f t="shared" si="1"/>
        <v>1530</v>
      </c>
    </row>
    <row r="32" spans="2:13">
      <c r="B32" s="8">
        <f>VALUE(Data_Set_Raw!B31)</f>
        <v>23297</v>
      </c>
      <c r="C32" s="13" t="str">
        <f>Data_Set_Raw!C31</f>
        <v>ursula mcconnell</v>
      </c>
      <c r="D32" s="13" t="str">
        <f t="shared" si="0"/>
        <v>Mcconnell</v>
      </c>
      <c r="E32" s="14" t="str">
        <f>Data_Set_Raw!D31</f>
        <v>Hungary</v>
      </c>
      <c r="F32" s="14" t="str">
        <f>IFERROR(VLOOKUP(Data_Set_Raw!E31,Data_Lookup_Ans!$C$14:$J$25,1,FALSE),VLOOKUP(Data_Set_Raw!E31,Data_Lookup_Ans!$D$14:$J$25,7,FALSE))</f>
        <v>PURA-200</v>
      </c>
      <c r="G32" s="14" t="str">
        <f>IFERROR(VLOOKUP(TRIM(Data_Set_Raw!F31),Data_Lookup_Ans!$C$8:$D$10,2,FALSE),TRIM(Data_Set_Raw!F31))</f>
        <v>Online</v>
      </c>
      <c r="H32" s="30">
        <v>41793</v>
      </c>
      <c r="I32" s="14">
        <f>VALUE(Data_Set_Raw!H31)</f>
        <v>135</v>
      </c>
      <c r="J32" s="14">
        <f>VLOOKUP(F32,Data_Lookup_Ans!$C$14:$J$25,5,FALSE)</f>
        <v>200</v>
      </c>
      <c r="K32" s="14" t="str">
        <f>VLOOKUP(F32,Data_Lookup_Ans!$C$14:$J$25,6,FALSE)</f>
        <v>ml</v>
      </c>
      <c r="L32" s="14">
        <f>Data_Set_Raw!I31</f>
        <v>9</v>
      </c>
      <c r="M32" s="31">
        <f t="shared" si="1"/>
        <v>1215</v>
      </c>
    </row>
    <row r="33" spans="2:13">
      <c r="B33" s="8">
        <f>VALUE(Data_Set_Raw!B32)</f>
        <v>23335</v>
      </c>
      <c r="C33" s="13" t="str">
        <f>Data_Set_Raw!C32</f>
        <v>noble gilbert</v>
      </c>
      <c r="D33" s="13" t="str">
        <f t="shared" si="0"/>
        <v>Gilbert</v>
      </c>
      <c r="E33" s="14" t="str">
        <f>Data_Set_Raw!D32</f>
        <v>United States</v>
      </c>
      <c r="F33" s="14" t="str">
        <f>IFERROR(VLOOKUP(Data_Set_Raw!E32,Data_Lookup_Ans!$C$14:$J$25,1,FALSE),VLOOKUP(Data_Set_Raw!E32,Data_Lookup_Ans!$D$14:$J$25,7,FALSE))</f>
        <v>SUPA-2000</v>
      </c>
      <c r="G33" s="14" t="str">
        <f>IFERROR(VLOOKUP(TRIM(Data_Set_Raw!F32),Data_Lookup_Ans!$C$8:$D$10,2,FALSE),TRIM(Data_Set_Raw!F32))</f>
        <v>Online</v>
      </c>
      <c r="H33" s="30">
        <v>42177</v>
      </c>
      <c r="I33" s="14">
        <f>VALUE(Data_Set_Raw!H32)</f>
        <v>116</v>
      </c>
      <c r="J33" s="14">
        <f>VLOOKUP(F33,Data_Lookup_Ans!$C$14:$J$25,5,FALSE)</f>
        <v>2000</v>
      </c>
      <c r="K33" s="14" t="str">
        <f>VLOOKUP(F33,Data_Lookup_Ans!$C$14:$J$25,6,FALSE)</f>
        <v>ml</v>
      </c>
      <c r="L33" s="14">
        <f>Data_Set_Raw!I32</f>
        <v>9</v>
      </c>
      <c r="M33" s="31">
        <f t="shared" si="1"/>
        <v>1044</v>
      </c>
    </row>
    <row r="34" spans="2:13">
      <c r="B34" s="8">
        <f>VALUE(Data_Set_Raw!B33)</f>
        <v>23264</v>
      </c>
      <c r="C34" s="13" t="str">
        <f>Data_Set_Raw!C33</f>
        <v>levi douglas</v>
      </c>
      <c r="D34" s="13" t="str">
        <f t="shared" si="0"/>
        <v>Douglas</v>
      </c>
      <c r="E34" s="14" t="str">
        <f>Data_Set_Raw!D33</f>
        <v>Tanzania, United Republic of</v>
      </c>
      <c r="F34" s="14" t="str">
        <f>IFERROR(VLOOKUP(Data_Set_Raw!E33,Data_Lookup_Ans!$C$14:$J$25,1,FALSE),VLOOKUP(Data_Set_Raw!E33,Data_Lookup_Ans!$D$14:$J$25,7,FALSE))</f>
        <v>PURA-250</v>
      </c>
      <c r="G34" s="14" t="str">
        <f>IFERROR(VLOOKUP(TRIM(Data_Set_Raw!F33),Data_Lookup_Ans!$C$8:$D$10,2,FALSE),TRIM(Data_Set_Raw!F33))</f>
        <v>Online</v>
      </c>
      <c r="H34" s="30">
        <v>41795</v>
      </c>
      <c r="I34" s="14">
        <f>VALUE(Data_Set_Raw!H33)</f>
        <v>205</v>
      </c>
      <c r="J34" s="14">
        <f>VLOOKUP(F34,Data_Lookup_Ans!$C$14:$J$25,5,FALSE)</f>
        <v>250</v>
      </c>
      <c r="K34" s="14" t="str">
        <f>VLOOKUP(F34,Data_Lookup_Ans!$C$14:$J$25,6,FALSE)</f>
        <v>ml</v>
      </c>
      <c r="L34" s="14">
        <f>Data_Set_Raw!I33</f>
        <v>9</v>
      </c>
      <c r="M34" s="31">
        <f t="shared" si="1"/>
        <v>1845</v>
      </c>
    </row>
    <row r="35" spans="2:13">
      <c r="B35" s="8">
        <f>VALUE(Data_Set_Raw!B34)</f>
        <v>23291</v>
      </c>
      <c r="C35" s="13" t="str">
        <f>Data_Set_Raw!C34</f>
        <v>jelani odonnell</v>
      </c>
      <c r="D35" s="13" t="str">
        <f t="shared" si="0"/>
        <v>Odonnell</v>
      </c>
      <c r="E35" s="14" t="str">
        <f>Data_Set_Raw!D34</f>
        <v>Albania</v>
      </c>
      <c r="F35" s="14" t="str">
        <f>IFERROR(VLOOKUP(Data_Set_Raw!E34,Data_Lookup_Ans!$C$14:$J$25,1,FALSE),VLOOKUP(Data_Set_Raw!E34,Data_Lookup_Ans!$D$14:$J$25,7,FALSE))</f>
        <v>DETA-800</v>
      </c>
      <c r="G35" s="14" t="str">
        <f>IFERROR(VLOOKUP(TRIM(Data_Set_Raw!F34),Data_Lookup_Ans!$C$8:$D$10,2,FALSE),TRIM(Data_Set_Raw!F34))</f>
        <v>Retail</v>
      </c>
      <c r="H35" s="30">
        <v>41854</v>
      </c>
      <c r="I35" s="14">
        <f>VALUE(Data_Set_Raw!H34)</f>
        <v>199</v>
      </c>
      <c r="J35" s="14">
        <f>VLOOKUP(F35,Data_Lookup_Ans!$C$14:$J$25,5,FALSE)</f>
        <v>800</v>
      </c>
      <c r="K35" s="14" t="str">
        <f>VLOOKUP(F35,Data_Lookup_Ans!$C$14:$J$25,6,FALSE)</f>
        <v>ml</v>
      </c>
      <c r="L35" s="14">
        <f>Data_Set_Raw!I34</f>
        <v>9</v>
      </c>
      <c r="M35" s="31">
        <f t="shared" si="1"/>
        <v>1791</v>
      </c>
    </row>
    <row r="36" spans="2:13">
      <c r="B36" s="8">
        <f>VALUE(Data_Set_Raw!B35)</f>
        <v>23269</v>
      </c>
      <c r="C36" s="13" t="str">
        <f>Data_Set_Raw!C35</f>
        <v>jane hernandez</v>
      </c>
      <c r="D36" s="13" t="str">
        <f t="shared" si="0"/>
        <v>Hernandez</v>
      </c>
      <c r="E36" s="14" t="str">
        <f>Data_Set_Raw!D35</f>
        <v>Macedonia</v>
      </c>
      <c r="F36" s="14" t="str">
        <f>IFERROR(VLOOKUP(Data_Set_Raw!E35,Data_Lookup_Ans!$C$14:$J$25,1,FALSE),VLOOKUP(Data_Set_Raw!E35,Data_Lookup_Ans!$D$14:$J$25,7,FALSE))</f>
        <v>PURA-200</v>
      </c>
      <c r="G36" s="14" t="str">
        <f>IFERROR(VLOOKUP(TRIM(Data_Set_Raw!F35),Data_Lookup_Ans!$C$8:$D$10,2,FALSE),TRIM(Data_Set_Raw!F35))</f>
        <v>Online</v>
      </c>
      <c r="H36" s="30">
        <v>42181</v>
      </c>
      <c r="I36" s="14">
        <f>VALUE(Data_Set_Raw!H35)</f>
        <v>116</v>
      </c>
      <c r="J36" s="14">
        <f>VLOOKUP(F36,Data_Lookup_Ans!$C$14:$J$25,5,FALSE)</f>
        <v>200</v>
      </c>
      <c r="K36" s="14" t="str">
        <f>VLOOKUP(F36,Data_Lookup_Ans!$C$14:$J$25,6,FALSE)</f>
        <v>ml</v>
      </c>
      <c r="L36" s="14">
        <f>Data_Set_Raw!I35</f>
        <v>3</v>
      </c>
      <c r="M36" s="31">
        <f t="shared" si="1"/>
        <v>348</v>
      </c>
    </row>
    <row r="37" spans="2:13">
      <c r="B37" s="8">
        <f>VALUE(Data_Set_Raw!B36)</f>
        <v>23322</v>
      </c>
      <c r="C37" s="13" t="str">
        <f>Data_Set_Raw!C36</f>
        <v>arsenio knowles</v>
      </c>
      <c r="D37" s="13" t="str">
        <f t="shared" si="0"/>
        <v>Knowles</v>
      </c>
      <c r="E37" s="14" t="str">
        <f>Data_Set_Raw!D36</f>
        <v>Malaysia</v>
      </c>
      <c r="F37" s="14" t="str">
        <f>IFERROR(VLOOKUP(Data_Set_Raw!E36,Data_Lookup_Ans!$C$14:$J$25,1,FALSE),VLOOKUP(Data_Set_Raw!E36,Data_Lookup_Ans!$D$14:$J$25,7,FALSE))</f>
        <v>PURA-100</v>
      </c>
      <c r="G37" s="14" t="str">
        <f>IFERROR(VLOOKUP(TRIM(Data_Set_Raw!F36),Data_Lookup_Ans!$C$8:$D$10,2,FALSE),TRIM(Data_Set_Raw!F36))</f>
        <v>Retail</v>
      </c>
      <c r="H37" s="30">
        <v>41874</v>
      </c>
      <c r="I37" s="14">
        <f>VALUE(Data_Set_Raw!H36)</f>
        <v>20</v>
      </c>
      <c r="J37" s="14">
        <f>VLOOKUP(F37,Data_Lookup_Ans!$C$14:$J$25,5,FALSE)</f>
        <v>100</v>
      </c>
      <c r="K37" s="14" t="str">
        <f>VLOOKUP(F37,Data_Lookup_Ans!$C$14:$J$25,6,FALSE)</f>
        <v>ml</v>
      </c>
      <c r="L37" s="14">
        <f>Data_Set_Raw!I36</f>
        <v>3</v>
      </c>
      <c r="M37" s="31">
        <f t="shared" si="1"/>
        <v>60</v>
      </c>
    </row>
    <row r="38" spans="2:13">
      <c r="B38" s="8">
        <f>VALUE(Data_Set_Raw!B37)</f>
        <v>23279</v>
      </c>
      <c r="C38" s="13" t="str">
        <f>Data_Set_Raw!C37</f>
        <v>angela wise</v>
      </c>
      <c r="D38" s="13" t="str">
        <f t="shared" si="0"/>
        <v>Wise</v>
      </c>
      <c r="E38" s="14" t="str">
        <f>Data_Set_Raw!D37</f>
        <v>Moldova</v>
      </c>
      <c r="F38" s="14" t="str">
        <f>IFERROR(VLOOKUP(Data_Set_Raw!E37,Data_Lookup_Ans!$C$14:$J$25,1,FALSE),VLOOKUP(Data_Set_Raw!E37,Data_Lookup_Ans!$D$14:$J$25,7,FALSE))</f>
        <v>PURA-250</v>
      </c>
      <c r="G38" s="14" t="str">
        <f>IFERROR(VLOOKUP(TRIM(Data_Set_Raw!F37),Data_Lookup_Ans!$C$8:$D$10,2,FALSE),TRIM(Data_Set_Raw!F37))</f>
        <v>Online</v>
      </c>
      <c r="H38" s="30">
        <v>42160</v>
      </c>
      <c r="I38" s="14">
        <f>VALUE(Data_Set_Raw!H37)</f>
        <v>10</v>
      </c>
      <c r="J38" s="14">
        <f>VLOOKUP(F38,Data_Lookup_Ans!$C$14:$J$25,5,FALSE)</f>
        <v>250</v>
      </c>
      <c r="K38" s="14" t="str">
        <f>VLOOKUP(F38,Data_Lookup_Ans!$C$14:$J$25,6,FALSE)</f>
        <v>ml</v>
      </c>
      <c r="L38" s="14">
        <f>Data_Set_Raw!I37</f>
        <v>3</v>
      </c>
      <c r="M38" s="31">
        <f t="shared" si="1"/>
        <v>30</v>
      </c>
    </row>
    <row r="39" spans="2:13">
      <c r="B39" s="8">
        <f>VALUE(Data_Set_Raw!B38)</f>
        <v>23341</v>
      </c>
      <c r="C39" s="13" t="str">
        <f>Data_Set_Raw!C38</f>
        <v>noel key</v>
      </c>
      <c r="D39" s="13" t="str">
        <f t="shared" si="0"/>
        <v>Key</v>
      </c>
      <c r="E39" s="14" t="str">
        <f>Data_Set_Raw!D38</f>
        <v>Gambia</v>
      </c>
      <c r="F39" s="14" t="str">
        <f>IFERROR(VLOOKUP(Data_Set_Raw!E38,Data_Lookup_Ans!$C$14:$J$25,1,FALSE),VLOOKUP(Data_Set_Raw!E38,Data_Lookup_Ans!$D$14:$J$25,7,FALSE))</f>
        <v>PURA-200</v>
      </c>
      <c r="G39" s="14" t="str">
        <f>IFERROR(VLOOKUP(TRIM(Data_Set_Raw!F38),Data_Lookup_Ans!$C$8:$D$10,2,FALSE),TRIM(Data_Set_Raw!F38))</f>
        <v>Retail</v>
      </c>
      <c r="H39" s="30">
        <v>42603</v>
      </c>
      <c r="I39" s="14">
        <f>VALUE(Data_Set_Raw!H38)</f>
        <v>77</v>
      </c>
      <c r="J39" s="14">
        <f>VLOOKUP(F39,Data_Lookup_Ans!$C$14:$J$25,5,FALSE)</f>
        <v>200</v>
      </c>
      <c r="K39" s="14" t="str">
        <f>VLOOKUP(F39,Data_Lookup_Ans!$C$14:$J$25,6,FALSE)</f>
        <v>ml</v>
      </c>
      <c r="L39" s="14">
        <f>Data_Set_Raw!I38</f>
        <v>3</v>
      </c>
      <c r="M39" s="31">
        <f t="shared" si="1"/>
        <v>231</v>
      </c>
    </row>
    <row r="40" spans="2:13">
      <c r="B40" s="8">
        <f>VALUE(Data_Set_Raw!B39)</f>
        <v>23370</v>
      </c>
      <c r="C40" s="13" t="str">
        <f>Data_Set_Raw!C39</f>
        <v>clark orr</v>
      </c>
      <c r="D40" s="13" t="str">
        <f t="shared" si="0"/>
        <v>Orr</v>
      </c>
      <c r="E40" s="14" t="str">
        <f>Data_Set_Raw!D39</f>
        <v>Indonesia</v>
      </c>
      <c r="F40" s="14" t="str">
        <f>IFERROR(VLOOKUP(Data_Set_Raw!E39,Data_Lookup_Ans!$C$14:$J$25,1,FALSE),VLOOKUP(Data_Set_Raw!E39,Data_Lookup_Ans!$D$14:$J$25,7,FALSE))</f>
        <v>DETA-800</v>
      </c>
      <c r="G40" s="14" t="str">
        <f>IFERROR(VLOOKUP(TRIM(Data_Set_Raw!F39),Data_Lookup_Ans!$C$8:$D$10,2,FALSE),TRIM(Data_Set_Raw!F39))</f>
        <v>Retail</v>
      </c>
      <c r="H40" s="30">
        <v>42229</v>
      </c>
      <c r="I40" s="14">
        <f>VALUE(Data_Set_Raw!H39)</f>
        <v>63</v>
      </c>
      <c r="J40" s="14">
        <f>VLOOKUP(F40,Data_Lookup_Ans!$C$14:$J$25,5,FALSE)</f>
        <v>800</v>
      </c>
      <c r="K40" s="14" t="str">
        <f>VLOOKUP(F40,Data_Lookup_Ans!$C$14:$J$25,6,FALSE)</f>
        <v>ml</v>
      </c>
      <c r="L40" s="14">
        <f>Data_Set_Raw!I39</f>
        <v>3</v>
      </c>
      <c r="M40" s="31">
        <f t="shared" si="1"/>
        <v>189</v>
      </c>
    </row>
    <row r="41" spans="2:13">
      <c r="B41" s="8">
        <f>VALUE(Data_Set_Raw!B40)</f>
        <v>23308</v>
      </c>
      <c r="C41" s="13" t="str">
        <f>Data_Set_Raw!C40</f>
        <v>dara cunningham</v>
      </c>
      <c r="D41" s="13" t="str">
        <f t="shared" si="0"/>
        <v>Cunningham</v>
      </c>
      <c r="E41" s="14" t="str">
        <f>Data_Set_Raw!D40</f>
        <v>Saint Helena</v>
      </c>
      <c r="F41" s="14" t="str">
        <f>IFERROR(VLOOKUP(Data_Set_Raw!E40,Data_Lookup_Ans!$C$14:$J$25,1,FALSE),VLOOKUP(Data_Set_Raw!E40,Data_Lookup_Ans!$D$14:$J$25,7,FALSE))</f>
        <v>PURA-100</v>
      </c>
      <c r="G41" s="14" t="str">
        <f>IFERROR(VLOOKUP(TRIM(Data_Set_Raw!F40),Data_Lookup_Ans!$C$8:$D$10,2,FALSE),TRIM(Data_Set_Raw!F40))</f>
        <v>Retail</v>
      </c>
      <c r="H41" s="30">
        <v>42231</v>
      </c>
      <c r="I41" s="14">
        <f>VALUE(Data_Set_Raw!H40)</f>
        <v>112</v>
      </c>
      <c r="J41" s="14">
        <f>VLOOKUP(F41,Data_Lookup_Ans!$C$14:$J$25,5,FALSE)</f>
        <v>100</v>
      </c>
      <c r="K41" s="14" t="str">
        <f>VLOOKUP(F41,Data_Lookup_Ans!$C$14:$J$25,6,FALSE)</f>
        <v>ml</v>
      </c>
      <c r="L41" s="14">
        <f>Data_Set_Raw!I40</f>
        <v>3</v>
      </c>
      <c r="M41" s="31">
        <f t="shared" si="1"/>
        <v>336</v>
      </c>
    </row>
    <row r="42" spans="2:13">
      <c r="B42" s="8">
        <f>VALUE(Data_Set_Raw!B41)</f>
        <v>23267</v>
      </c>
      <c r="C42" s="13" t="str">
        <f>Data_Set_Raw!C41</f>
        <v>vance campos</v>
      </c>
      <c r="D42" s="13" t="str">
        <f t="shared" si="0"/>
        <v>Campos</v>
      </c>
      <c r="E42" s="14" t="str">
        <f>Data_Set_Raw!D41</f>
        <v>Syria</v>
      </c>
      <c r="F42" s="14" t="str">
        <f>IFERROR(VLOOKUP(Data_Set_Raw!E41,Data_Lookup_Ans!$C$14:$J$25,1,FALSE),VLOOKUP(Data_Set_Raw!E41,Data_Lookup_Ans!$D$14:$J$25,7,FALSE))</f>
        <v>SUPA-500</v>
      </c>
      <c r="G42" s="14" t="str">
        <f>IFERROR(VLOOKUP(TRIM(Data_Set_Raw!F41),Data_Lookup_Ans!$C$8:$D$10,2,FALSE),TRIM(Data_Set_Raw!F41))</f>
        <v>Online</v>
      </c>
      <c r="H42" s="30">
        <v>42242</v>
      </c>
      <c r="I42" s="14">
        <f>VALUE(Data_Set_Raw!H41)</f>
        <v>129</v>
      </c>
      <c r="J42" s="14">
        <f>VLOOKUP(F42,Data_Lookup_Ans!$C$14:$J$25,5,FALSE)</f>
        <v>500</v>
      </c>
      <c r="K42" s="14" t="str">
        <f>VLOOKUP(F42,Data_Lookup_Ans!$C$14:$J$25,6,FALSE)</f>
        <v>ml</v>
      </c>
      <c r="L42" s="14">
        <f>Data_Set_Raw!I41</f>
        <v>3</v>
      </c>
      <c r="M42" s="31">
        <f t="shared" si="1"/>
        <v>387</v>
      </c>
    </row>
    <row r="43" spans="2:13">
      <c r="B43" s="8">
        <f>VALUE(Data_Set_Raw!B42)</f>
        <v>23334</v>
      </c>
      <c r="C43" s="13" t="str">
        <f>Data_Set_Raw!C42</f>
        <v>silas battle</v>
      </c>
      <c r="D43" s="13" t="str">
        <f t="shared" si="0"/>
        <v>Battle</v>
      </c>
      <c r="E43" s="14" t="str">
        <f>Data_Set_Raw!D42</f>
        <v>Niue</v>
      </c>
      <c r="F43" s="14" t="str">
        <f>IFERROR(VLOOKUP(Data_Set_Raw!E42,Data_Lookup_Ans!$C$14:$J$25,1,FALSE),VLOOKUP(Data_Set_Raw!E42,Data_Lookup_Ans!$D$14:$J$25,7,FALSE))</f>
        <v>SUPA-250</v>
      </c>
      <c r="G43" s="14" t="str">
        <f>IFERROR(VLOOKUP(TRIM(Data_Set_Raw!F42),Data_Lookup_Ans!$C$8:$D$10,2,FALSE),TRIM(Data_Set_Raw!F42))</f>
        <v>Online</v>
      </c>
      <c r="H43" s="30">
        <v>42211</v>
      </c>
      <c r="I43" s="14">
        <f>VALUE(Data_Set_Raw!H42)</f>
        <v>14</v>
      </c>
      <c r="J43" s="14">
        <f>VLOOKUP(F43,Data_Lookup_Ans!$C$14:$J$25,5,FALSE)</f>
        <v>250</v>
      </c>
      <c r="K43" s="14" t="str">
        <f>VLOOKUP(F43,Data_Lookup_Ans!$C$14:$J$25,6,FALSE)</f>
        <v>ml</v>
      </c>
      <c r="L43" s="14">
        <f>Data_Set_Raw!I42</f>
        <v>3</v>
      </c>
      <c r="M43" s="31">
        <f t="shared" si="1"/>
        <v>42</v>
      </c>
    </row>
    <row r="44" spans="2:13">
      <c r="B44" s="8">
        <f>VALUE(Data_Set_Raw!B43)</f>
        <v>23362</v>
      </c>
      <c r="C44" s="13" t="str">
        <f>Data_Set_Raw!C43</f>
        <v>jerry alvarado</v>
      </c>
      <c r="D44" s="13" t="str">
        <f t="shared" si="0"/>
        <v>Alvarado</v>
      </c>
      <c r="E44" s="14" t="str">
        <f>Data_Set_Raw!D43</f>
        <v>Korea, Republic of</v>
      </c>
      <c r="F44" s="14" t="str">
        <f>IFERROR(VLOOKUP(Data_Set_Raw!E43,Data_Lookup_Ans!$C$14:$J$25,1,FALSE),VLOOKUP(Data_Set_Raw!E43,Data_Lookup_Ans!$D$14:$J$25,7,FALSE))</f>
        <v>PURA-500</v>
      </c>
      <c r="G44" s="14" t="str">
        <f>IFERROR(VLOOKUP(TRIM(Data_Set_Raw!F43),Data_Lookup_Ans!$C$8:$D$10,2,FALSE),TRIM(Data_Set_Raw!F43))</f>
        <v>Online</v>
      </c>
      <c r="H44" s="30">
        <v>42225</v>
      </c>
      <c r="I44" s="14">
        <f>VALUE(Data_Set_Raw!H43)</f>
        <v>179</v>
      </c>
      <c r="J44" s="14">
        <f>VLOOKUP(F44,Data_Lookup_Ans!$C$14:$J$25,5,FALSE)</f>
        <v>500</v>
      </c>
      <c r="K44" s="14" t="str">
        <f>VLOOKUP(F44,Data_Lookup_Ans!$C$14:$J$25,6,FALSE)</f>
        <v>ml</v>
      </c>
      <c r="L44" s="14">
        <f>Data_Set_Raw!I43</f>
        <v>3</v>
      </c>
      <c r="M44" s="31">
        <f t="shared" si="1"/>
        <v>537</v>
      </c>
    </row>
    <row r="45" spans="2:13">
      <c r="B45" s="8">
        <f>VALUE(Data_Set_Raw!B44)</f>
        <v>23274</v>
      </c>
      <c r="C45" s="13" t="str">
        <f>Data_Set_Raw!C44</f>
        <v>asher weber</v>
      </c>
      <c r="D45" s="13" t="str">
        <f t="shared" si="0"/>
        <v>Weber</v>
      </c>
      <c r="E45" s="14" t="str">
        <f>Data_Set_Raw!D44</f>
        <v>Macedonia</v>
      </c>
      <c r="F45" s="14" t="str">
        <f>IFERROR(VLOOKUP(Data_Set_Raw!E44,Data_Lookup_Ans!$C$14:$J$25,1,FALSE),VLOOKUP(Data_Set_Raw!E44,Data_Lookup_Ans!$D$14:$J$25,7,FALSE))</f>
        <v>SUPA-2000</v>
      </c>
      <c r="G45" s="14" t="str">
        <f>IFERROR(VLOOKUP(TRIM(Data_Set_Raw!F44),Data_Lookup_Ans!$C$8:$D$10,2,FALSE),TRIM(Data_Set_Raw!F44))</f>
        <v>Retail</v>
      </c>
      <c r="H45" s="30">
        <v>42235</v>
      </c>
      <c r="I45" s="14">
        <f>VALUE(Data_Set_Raw!H44)</f>
        <v>153</v>
      </c>
      <c r="J45" s="14">
        <f>VLOOKUP(F45,Data_Lookup_Ans!$C$14:$J$25,5,FALSE)</f>
        <v>2000</v>
      </c>
      <c r="K45" s="14" t="str">
        <f>VLOOKUP(F45,Data_Lookup_Ans!$C$14:$J$25,6,FALSE)</f>
        <v>ml</v>
      </c>
      <c r="L45" s="14">
        <f>Data_Set_Raw!I44</f>
        <v>3</v>
      </c>
      <c r="M45" s="31">
        <f t="shared" si="1"/>
        <v>459</v>
      </c>
    </row>
    <row r="46" spans="2:13">
      <c r="B46" s="8">
        <f>VALUE(Data_Set_Raw!B45)</f>
        <v>23304</v>
      </c>
      <c r="C46" s="13" t="str">
        <f>Data_Set_Raw!C45</f>
        <v>deanna santana</v>
      </c>
      <c r="D46" s="13" t="str">
        <f t="shared" si="0"/>
        <v>Santana</v>
      </c>
      <c r="E46" s="14" t="str">
        <f>Data_Set_Raw!D45</f>
        <v>Solomon Islands</v>
      </c>
      <c r="F46" s="14" t="str">
        <f>IFERROR(VLOOKUP(Data_Set_Raw!E45,Data_Lookup_Ans!$C$14:$J$25,1,FALSE),VLOOKUP(Data_Set_Raw!E45,Data_Lookup_Ans!$D$14:$J$25,7,FALSE))</f>
        <v>DETA-800</v>
      </c>
      <c r="G46" s="14" t="str">
        <f>IFERROR(VLOOKUP(TRIM(Data_Set_Raw!F45),Data_Lookup_Ans!$C$8:$D$10,2,FALSE),TRIM(Data_Set_Raw!F45))</f>
        <v>Retail</v>
      </c>
      <c r="H46" s="30">
        <v>42607</v>
      </c>
      <c r="I46" s="14">
        <f>VALUE(Data_Set_Raw!H45)</f>
        <v>131</v>
      </c>
      <c r="J46" s="14">
        <f>VLOOKUP(F46,Data_Lookup_Ans!$C$14:$J$25,5,FALSE)</f>
        <v>800</v>
      </c>
      <c r="K46" s="14" t="str">
        <f>VLOOKUP(F46,Data_Lookup_Ans!$C$14:$J$25,6,FALSE)</f>
        <v>ml</v>
      </c>
      <c r="L46" s="14">
        <f>Data_Set_Raw!I45</f>
        <v>3.99</v>
      </c>
      <c r="M46" s="31">
        <f t="shared" si="1"/>
        <v>522.69000000000005</v>
      </c>
    </row>
    <row r="47" spans="2:13">
      <c r="B47" s="8">
        <f>VALUE(Data_Set_Raw!B46)</f>
        <v>23316</v>
      </c>
      <c r="C47" s="13" t="str">
        <f>Data_Set_Raw!C46</f>
        <v>robert juarez</v>
      </c>
      <c r="D47" s="13" t="str">
        <f t="shared" si="0"/>
        <v>Juarez</v>
      </c>
      <c r="E47" s="14" t="str">
        <f>Data_Set_Raw!D46</f>
        <v>Svalbard and Jan Mayen</v>
      </c>
      <c r="F47" s="14" t="str">
        <f>IFERROR(VLOOKUP(Data_Set_Raw!E46,Data_Lookup_Ans!$C$14:$J$25,1,FALSE),VLOOKUP(Data_Set_Raw!E46,Data_Lookup_Ans!$D$14:$J$25,7,FALSE))</f>
        <v>DETA-800</v>
      </c>
      <c r="G47" s="14" t="str">
        <f>IFERROR(VLOOKUP(TRIM(Data_Set_Raw!F46),Data_Lookup_Ans!$C$8:$D$10,2,FALSE),TRIM(Data_Set_Raw!F46))</f>
        <v>Retail</v>
      </c>
      <c r="H47" s="30">
        <v>42602</v>
      </c>
      <c r="I47" s="14">
        <f>VALUE(Data_Set_Raw!H46)</f>
        <v>137</v>
      </c>
      <c r="J47" s="14">
        <f>VLOOKUP(F47,Data_Lookup_Ans!$C$14:$J$25,5,FALSE)</f>
        <v>800</v>
      </c>
      <c r="K47" s="14" t="str">
        <f>VLOOKUP(F47,Data_Lookup_Ans!$C$14:$J$25,6,FALSE)</f>
        <v>ml</v>
      </c>
      <c r="L47" s="14">
        <f>Data_Set_Raw!I46</f>
        <v>3.99</v>
      </c>
      <c r="M47" s="31">
        <f t="shared" si="1"/>
        <v>546.63</v>
      </c>
    </row>
    <row r="48" spans="2:13">
      <c r="B48" s="8">
        <f>VALUE(Data_Set_Raw!B47)</f>
        <v>23356</v>
      </c>
      <c r="C48" s="13" t="str">
        <f>Data_Set_Raw!C47</f>
        <v>colette sargent</v>
      </c>
      <c r="D48" s="13" t="str">
        <f t="shared" si="0"/>
        <v>Sargent</v>
      </c>
      <c r="E48" s="14" t="str">
        <f>Data_Set_Raw!D47</f>
        <v>Norfolk Island</v>
      </c>
      <c r="F48" s="14" t="str">
        <f>IFERROR(VLOOKUP(Data_Set_Raw!E47,Data_Lookup_Ans!$C$14:$J$25,1,FALSE),VLOOKUP(Data_Set_Raw!E47,Data_Lookup_Ans!$D$14:$J$25,7,FALSE))</f>
        <v>DETA-100</v>
      </c>
      <c r="G48" s="14" t="str">
        <f>IFERROR(VLOOKUP(TRIM(Data_Set_Raw!F47),Data_Lookup_Ans!$C$8:$D$10,2,FALSE),TRIM(Data_Set_Raw!F47))</f>
        <v>Online</v>
      </c>
      <c r="H48" s="30">
        <v>42202</v>
      </c>
      <c r="I48" s="14">
        <f>VALUE(Data_Set_Raw!H47)</f>
        <v>80</v>
      </c>
      <c r="J48" s="14">
        <f>VLOOKUP(F48,Data_Lookup_Ans!$C$14:$J$25,5,FALSE)</f>
        <v>100</v>
      </c>
      <c r="K48" s="14" t="str">
        <f>VLOOKUP(F48,Data_Lookup_Ans!$C$14:$J$25,6,FALSE)</f>
        <v>ml</v>
      </c>
      <c r="L48" s="14">
        <f>Data_Set_Raw!I47</f>
        <v>3.99</v>
      </c>
      <c r="M48" s="31">
        <f t="shared" si="1"/>
        <v>319.20000000000005</v>
      </c>
    </row>
    <row r="49" spans="2:13">
      <c r="B49" s="8">
        <f>VALUE(Data_Set_Raw!B48)</f>
        <v>23309</v>
      </c>
      <c r="C49" s="13" t="str">
        <f>Data_Set_Raw!C48</f>
        <v>buckminster hopkins</v>
      </c>
      <c r="D49" s="13" t="str">
        <f t="shared" si="0"/>
        <v>Hopkins</v>
      </c>
      <c r="E49" s="14" t="str">
        <f>Data_Set_Raw!D48</f>
        <v>Sierra Leone</v>
      </c>
      <c r="F49" s="14" t="str">
        <f>IFERROR(VLOOKUP(Data_Set_Raw!E48,Data_Lookup_Ans!$C$14:$J$25,1,FALSE),VLOOKUP(Data_Set_Raw!E48,Data_Lookup_Ans!$D$14:$J$25,7,FALSE))</f>
        <v>SUPA-250</v>
      </c>
      <c r="G49" s="14" t="str">
        <f>IFERROR(VLOOKUP(TRIM(Data_Set_Raw!F48),Data_Lookup_Ans!$C$8:$D$10,2,FALSE),TRIM(Data_Set_Raw!F48))</f>
        <v>Online</v>
      </c>
      <c r="H49" s="30">
        <v>42181</v>
      </c>
      <c r="I49" s="14">
        <f>VALUE(Data_Set_Raw!H48)</f>
        <v>201</v>
      </c>
      <c r="J49" s="14">
        <f>VLOOKUP(F49,Data_Lookup_Ans!$C$14:$J$25,5,FALSE)</f>
        <v>250</v>
      </c>
      <c r="K49" s="14" t="str">
        <f>VLOOKUP(F49,Data_Lookup_Ans!$C$14:$J$25,6,FALSE)</f>
        <v>ml</v>
      </c>
      <c r="L49" s="14">
        <f>Data_Set_Raw!I48</f>
        <v>3.99</v>
      </c>
      <c r="M49" s="31">
        <f t="shared" si="1"/>
        <v>801.99</v>
      </c>
    </row>
    <row r="50" spans="2:13">
      <c r="B50" s="8">
        <f>VALUE(Data_Set_Raw!B49)</f>
        <v>23299</v>
      </c>
      <c r="C50" s="13" t="str">
        <f>Data_Set_Raw!C49</f>
        <v>germaine kidd</v>
      </c>
      <c r="D50" s="13" t="str">
        <f t="shared" si="0"/>
        <v>Kidd</v>
      </c>
      <c r="E50" s="14" t="str">
        <f>Data_Set_Raw!D49</f>
        <v>Niger</v>
      </c>
      <c r="F50" s="14" t="str">
        <f>IFERROR(VLOOKUP(Data_Set_Raw!E49,Data_Lookup_Ans!$C$14:$J$25,1,FALSE),VLOOKUP(Data_Set_Raw!E49,Data_Lookup_Ans!$D$14:$J$25,7,FALSE))</f>
        <v>DETA-200</v>
      </c>
      <c r="G50" s="14" t="str">
        <f>IFERROR(VLOOKUP(TRIM(Data_Set_Raw!F49),Data_Lookup_Ans!$C$8:$D$10,2,FALSE),TRIM(Data_Set_Raw!F49))</f>
        <v>Retail</v>
      </c>
      <c r="H50" s="30">
        <v>42540</v>
      </c>
      <c r="I50" s="14">
        <f>VALUE(Data_Set_Raw!H49)</f>
        <v>104</v>
      </c>
      <c r="J50" s="14">
        <f>VLOOKUP(F50,Data_Lookup_Ans!$C$14:$J$25,5,FALSE)</f>
        <v>200</v>
      </c>
      <c r="K50" s="14" t="str">
        <f>VLOOKUP(F50,Data_Lookup_Ans!$C$14:$J$25,6,FALSE)</f>
        <v>ml</v>
      </c>
      <c r="L50" s="14">
        <f>Data_Set_Raw!I49</f>
        <v>3.99</v>
      </c>
      <c r="M50" s="31">
        <f t="shared" si="1"/>
        <v>414.96000000000004</v>
      </c>
    </row>
    <row r="51" spans="2:13">
      <c r="B51" s="8">
        <f>VALUE(Data_Set_Raw!B50)</f>
        <v>23342</v>
      </c>
      <c r="C51" s="13" t="str">
        <f>Data_Set_Raw!C50</f>
        <v>paul duke</v>
      </c>
      <c r="D51" s="13" t="str">
        <f t="shared" si="0"/>
        <v>Duke</v>
      </c>
      <c r="E51" s="14" t="str">
        <f>Data_Set_Raw!D50</f>
        <v>Puerto Rico</v>
      </c>
      <c r="F51" s="14" t="str">
        <f>IFERROR(VLOOKUP(Data_Set_Raw!E50,Data_Lookup_Ans!$C$14:$J$25,1,FALSE),VLOOKUP(Data_Set_Raw!E50,Data_Lookup_Ans!$D$14:$J$25,7,FALSE))</f>
        <v>PURA-200</v>
      </c>
      <c r="G51" s="14" t="str">
        <f>IFERROR(VLOOKUP(TRIM(Data_Set_Raw!F50),Data_Lookup_Ans!$C$8:$D$10,2,FALSE),TRIM(Data_Set_Raw!F50))</f>
        <v>Online</v>
      </c>
      <c r="H51" s="30">
        <v>41862</v>
      </c>
      <c r="I51" s="14">
        <f>VALUE(Data_Set_Raw!H50)</f>
        <v>122</v>
      </c>
      <c r="J51" s="14">
        <f>VLOOKUP(F51,Data_Lookup_Ans!$C$14:$J$25,5,FALSE)</f>
        <v>200</v>
      </c>
      <c r="K51" s="14" t="str">
        <f>VLOOKUP(F51,Data_Lookup_Ans!$C$14:$J$25,6,FALSE)</f>
        <v>ml</v>
      </c>
      <c r="L51" s="14">
        <f>Data_Set_Raw!I50</f>
        <v>3.99</v>
      </c>
      <c r="M51" s="31">
        <f t="shared" si="1"/>
        <v>486.78000000000003</v>
      </c>
    </row>
    <row r="52" spans="2:13">
      <c r="B52" s="8">
        <f>VALUE(Data_Set_Raw!B51)</f>
        <v>23312</v>
      </c>
      <c r="C52" s="13" t="str">
        <f>Data_Set_Raw!C51</f>
        <v>thomas barnes</v>
      </c>
      <c r="D52" s="13" t="str">
        <f t="shared" si="0"/>
        <v>Barnes</v>
      </c>
      <c r="E52" s="14" t="str">
        <f>Data_Set_Raw!D51</f>
        <v>Mayotte</v>
      </c>
      <c r="F52" s="14" t="str">
        <f>IFERROR(VLOOKUP(Data_Set_Raw!E51,Data_Lookup_Ans!$C$14:$J$25,1,FALSE),VLOOKUP(Data_Set_Raw!E51,Data_Lookup_Ans!$D$14:$J$25,7,FALSE))</f>
        <v>SUPA-1000</v>
      </c>
      <c r="G52" s="14" t="str">
        <f>IFERROR(VLOOKUP(TRIM(Data_Set_Raw!F51),Data_Lookup_Ans!$C$8:$D$10,2,FALSE),TRIM(Data_Set_Raw!F51))</f>
        <v>Online</v>
      </c>
      <c r="H52" s="30">
        <v>41841</v>
      </c>
      <c r="I52" s="14">
        <f>VALUE(Data_Set_Raw!H51)</f>
        <v>28</v>
      </c>
      <c r="J52" s="14">
        <f>VLOOKUP(F52,Data_Lookup_Ans!$C$14:$J$25,5,FALSE)</f>
        <v>1000</v>
      </c>
      <c r="K52" s="14" t="str">
        <f>VLOOKUP(F52,Data_Lookup_Ans!$C$14:$J$25,6,FALSE)</f>
        <v>ml</v>
      </c>
      <c r="L52" s="14">
        <f>Data_Set_Raw!I51</f>
        <v>3.99</v>
      </c>
      <c r="M52" s="31">
        <f t="shared" si="1"/>
        <v>111.72</v>
      </c>
    </row>
    <row r="53" spans="2:13">
      <c r="B53" s="8">
        <f>VALUE(Data_Set_Raw!B52)</f>
        <v>23351</v>
      </c>
      <c r="C53" s="13" t="str">
        <f>Data_Set_Raw!C52</f>
        <v>nyssa quinn</v>
      </c>
      <c r="D53" s="13" t="str">
        <f t="shared" si="0"/>
        <v>Quinn</v>
      </c>
      <c r="E53" s="14" t="str">
        <f>Data_Set_Raw!D52</f>
        <v>Cocos (Keeling) Islands</v>
      </c>
      <c r="F53" s="14" t="str">
        <f>IFERROR(VLOOKUP(Data_Set_Raw!E52,Data_Lookup_Ans!$C$14:$J$25,1,FALSE),VLOOKUP(Data_Set_Raw!E52,Data_Lookup_Ans!$D$14:$J$25,7,FALSE))</f>
        <v>SUPA-500</v>
      </c>
      <c r="G53" s="14" t="str">
        <f>IFERROR(VLOOKUP(TRIM(Data_Set_Raw!F52),Data_Lookup_Ans!$C$8:$D$10,2,FALSE),TRIM(Data_Set_Raw!F52))</f>
        <v>Online</v>
      </c>
      <c r="H53" s="30">
        <v>42189</v>
      </c>
      <c r="I53" s="14">
        <f>VALUE(Data_Set_Raw!H52)</f>
        <v>151</v>
      </c>
      <c r="J53" s="14">
        <f>VLOOKUP(F53,Data_Lookup_Ans!$C$14:$J$25,5,FALSE)</f>
        <v>500</v>
      </c>
      <c r="K53" s="14" t="str">
        <f>VLOOKUP(F53,Data_Lookup_Ans!$C$14:$J$25,6,FALSE)</f>
        <v>ml</v>
      </c>
      <c r="L53" s="14">
        <f>Data_Set_Raw!I52</f>
        <v>3.99</v>
      </c>
      <c r="M53" s="31">
        <f t="shared" si="1"/>
        <v>602.49</v>
      </c>
    </row>
    <row r="54" spans="2:13">
      <c r="B54" s="8">
        <f>VALUE(Data_Set_Raw!B53)</f>
        <v>23266</v>
      </c>
      <c r="C54" s="13" t="str">
        <f>Data_Set_Raw!C53</f>
        <v>celeste pugh</v>
      </c>
      <c r="D54" s="13" t="str">
        <f t="shared" si="0"/>
        <v>Pugh</v>
      </c>
      <c r="E54" s="14" t="str">
        <f>Data_Set_Raw!D53</f>
        <v>Gabon</v>
      </c>
      <c r="F54" s="14" t="str">
        <f>IFERROR(VLOOKUP(Data_Set_Raw!E53,Data_Lookup_Ans!$C$14:$J$25,1,FALSE),VLOOKUP(Data_Set_Raw!E53,Data_Lookup_Ans!$D$14:$J$25,7,FALSE))</f>
        <v>DETA-100</v>
      </c>
      <c r="G54" s="14" t="str">
        <f>IFERROR(VLOOKUP(TRIM(Data_Set_Raw!F53),Data_Lookup_Ans!$C$8:$D$10,2,FALSE),TRIM(Data_Set_Raw!F53))</f>
        <v>Online</v>
      </c>
      <c r="H54" s="30">
        <v>41872</v>
      </c>
      <c r="I54" s="14">
        <f>VALUE(Data_Set_Raw!H53)</f>
        <v>170</v>
      </c>
      <c r="J54" s="14">
        <f>VLOOKUP(F54,Data_Lookup_Ans!$C$14:$J$25,5,FALSE)</f>
        <v>100</v>
      </c>
      <c r="K54" s="14" t="str">
        <f>VLOOKUP(F54,Data_Lookup_Ans!$C$14:$J$25,6,FALSE)</f>
        <v>ml</v>
      </c>
      <c r="L54" s="14">
        <f>Data_Set_Raw!I53</f>
        <v>3.99</v>
      </c>
      <c r="M54" s="31">
        <f t="shared" si="1"/>
        <v>678.30000000000007</v>
      </c>
    </row>
    <row r="55" spans="2:13">
      <c r="B55" s="8">
        <f>VALUE(Data_Set_Raw!B54)</f>
        <v>23374</v>
      </c>
      <c r="C55" s="13" t="str">
        <f>Data_Set_Raw!C54</f>
        <v>ebony mercer</v>
      </c>
      <c r="D55" s="13" t="str">
        <f t="shared" si="0"/>
        <v>Mercer</v>
      </c>
      <c r="E55" s="14" t="str">
        <f>Data_Set_Raw!D54</f>
        <v>Cape Verde</v>
      </c>
      <c r="F55" s="14" t="str">
        <f>IFERROR(VLOOKUP(Data_Set_Raw!E54,Data_Lookup_Ans!$C$14:$J$25,1,FALSE),VLOOKUP(Data_Set_Raw!E54,Data_Lookup_Ans!$D$14:$J$25,7,FALSE))</f>
        <v>SUPA-500</v>
      </c>
      <c r="G55" s="14" t="str">
        <f>IFERROR(VLOOKUP(TRIM(Data_Set_Raw!F54),Data_Lookup_Ans!$C$8:$D$10,2,FALSE),TRIM(Data_Set_Raw!F54))</f>
        <v>Online</v>
      </c>
      <c r="H55" s="30">
        <v>42222</v>
      </c>
      <c r="I55" s="14">
        <f>VALUE(Data_Set_Raw!H54)</f>
        <v>57</v>
      </c>
      <c r="J55" s="14">
        <f>VLOOKUP(F55,Data_Lookup_Ans!$C$14:$J$25,5,FALSE)</f>
        <v>500</v>
      </c>
      <c r="K55" s="14" t="str">
        <f>VLOOKUP(F55,Data_Lookup_Ans!$C$14:$J$25,6,FALSE)</f>
        <v>ml</v>
      </c>
      <c r="L55" s="14">
        <f>Data_Set_Raw!I54</f>
        <v>3.99</v>
      </c>
      <c r="M55" s="31">
        <f t="shared" si="1"/>
        <v>227.43</v>
      </c>
    </row>
    <row r="56" spans="2:13">
      <c r="B56" s="8">
        <f>VALUE(Data_Set_Raw!B55)</f>
        <v>23284</v>
      </c>
      <c r="C56" s="13" t="str">
        <f>Data_Set_Raw!C55</f>
        <v>clark weaver</v>
      </c>
      <c r="D56" s="13" t="str">
        <f t="shared" si="0"/>
        <v>Weaver</v>
      </c>
      <c r="E56" s="14" t="str">
        <f>Data_Set_Raw!D55</f>
        <v>Palau</v>
      </c>
      <c r="F56" s="14" t="str">
        <f>IFERROR(VLOOKUP(Data_Set_Raw!E55,Data_Lookup_Ans!$C$14:$J$25,1,FALSE),VLOOKUP(Data_Set_Raw!E55,Data_Lookup_Ans!$D$14:$J$25,7,FALSE))</f>
        <v>PURA-100</v>
      </c>
      <c r="G56" s="14" t="str">
        <f>IFERROR(VLOOKUP(TRIM(Data_Set_Raw!F55),Data_Lookup_Ans!$C$8:$D$10,2,FALSE),TRIM(Data_Set_Raw!F55))</f>
        <v>Retail</v>
      </c>
      <c r="H56" s="30">
        <v>42548</v>
      </c>
      <c r="I56" s="14">
        <f>VALUE(Data_Set_Raw!H55)</f>
        <v>135</v>
      </c>
      <c r="J56" s="14">
        <f>VLOOKUP(F56,Data_Lookup_Ans!$C$14:$J$25,5,FALSE)</f>
        <v>100</v>
      </c>
      <c r="K56" s="14" t="str">
        <f>VLOOKUP(F56,Data_Lookup_Ans!$C$14:$J$25,6,FALSE)</f>
        <v>ml</v>
      </c>
      <c r="L56" s="14">
        <f>Data_Set_Raw!I55</f>
        <v>4.5</v>
      </c>
      <c r="M56" s="31">
        <f t="shared" si="1"/>
        <v>607.5</v>
      </c>
    </row>
    <row r="57" spans="2:13">
      <c r="B57" s="8">
        <f>VALUE(Data_Set_Raw!B56)</f>
        <v>23287</v>
      </c>
      <c r="C57" s="13" t="str">
        <f>Data_Set_Raw!C56</f>
        <v>joy vazquez</v>
      </c>
      <c r="D57" s="13" t="str">
        <f t="shared" si="0"/>
        <v>Vazquez</v>
      </c>
      <c r="E57" s="14" t="str">
        <f>Data_Set_Raw!D56</f>
        <v>Korea</v>
      </c>
      <c r="F57" s="14" t="str">
        <f>IFERROR(VLOOKUP(Data_Set_Raw!E56,Data_Lookup_Ans!$C$14:$J$25,1,FALSE),VLOOKUP(Data_Set_Raw!E56,Data_Lookup_Ans!$D$14:$J$25,7,FALSE))</f>
        <v>DETA-200</v>
      </c>
      <c r="G57" s="14" t="str">
        <f>IFERROR(VLOOKUP(TRIM(Data_Set_Raw!F56),Data_Lookup_Ans!$C$8:$D$10,2,FALSE),TRIM(Data_Set_Raw!F56))</f>
        <v>Retail</v>
      </c>
      <c r="H57" s="30">
        <v>41803</v>
      </c>
      <c r="I57" s="14">
        <f>VALUE(Data_Set_Raw!H56)</f>
        <v>189</v>
      </c>
      <c r="J57" s="14">
        <f>VLOOKUP(F57,Data_Lookup_Ans!$C$14:$J$25,5,FALSE)</f>
        <v>200</v>
      </c>
      <c r="K57" s="14" t="str">
        <f>VLOOKUP(F57,Data_Lookup_Ans!$C$14:$J$25,6,FALSE)</f>
        <v>ml</v>
      </c>
      <c r="L57" s="14">
        <f>Data_Set_Raw!I56</f>
        <v>4.5</v>
      </c>
      <c r="M57" s="31">
        <f t="shared" si="1"/>
        <v>850.5</v>
      </c>
    </row>
    <row r="58" spans="2:13">
      <c r="B58" s="8">
        <f>VALUE(Data_Set_Raw!B57)</f>
        <v>23367</v>
      </c>
      <c r="C58" s="13" t="str">
        <f>Data_Set_Raw!C57</f>
        <v>roary dixon</v>
      </c>
      <c r="D58" s="13" t="str">
        <f t="shared" si="0"/>
        <v>Dixon</v>
      </c>
      <c r="E58" s="14" t="str">
        <f>Data_Set_Raw!D57</f>
        <v>Saudi Arabia</v>
      </c>
      <c r="F58" s="14" t="str">
        <f>IFERROR(VLOOKUP(Data_Set_Raw!E57,Data_Lookup_Ans!$C$14:$J$25,1,FALSE),VLOOKUP(Data_Set_Raw!E57,Data_Lookup_Ans!$D$14:$J$25,7,FALSE))</f>
        <v>SUPA-250</v>
      </c>
      <c r="G58" s="14" t="str">
        <f>IFERROR(VLOOKUP(TRIM(Data_Set_Raw!F57),Data_Lookup_Ans!$C$8:$D$10,2,FALSE),TRIM(Data_Set_Raw!F57))</f>
        <v>Retail</v>
      </c>
      <c r="H58" s="30">
        <v>42545</v>
      </c>
      <c r="I58" s="14">
        <f>VALUE(Data_Set_Raw!H57)</f>
        <v>10</v>
      </c>
      <c r="J58" s="14">
        <f>VLOOKUP(F58,Data_Lookup_Ans!$C$14:$J$25,5,FALSE)</f>
        <v>250</v>
      </c>
      <c r="K58" s="14" t="str">
        <f>VLOOKUP(F58,Data_Lookup_Ans!$C$14:$J$25,6,FALSE)</f>
        <v>ml</v>
      </c>
      <c r="L58" s="14">
        <f>Data_Set_Raw!I57</f>
        <v>4.5</v>
      </c>
      <c r="M58" s="31">
        <f t="shared" si="1"/>
        <v>45</v>
      </c>
    </row>
    <row r="59" spans="2:13">
      <c r="B59" s="8">
        <f>VALUE(Data_Set_Raw!B58)</f>
        <v>23355</v>
      </c>
      <c r="C59" s="13" t="str">
        <f>Data_Set_Raw!C58</f>
        <v>victoria solis</v>
      </c>
      <c r="D59" s="13" t="str">
        <f t="shared" si="0"/>
        <v>Solis</v>
      </c>
      <c r="E59" s="14" t="str">
        <f>Data_Set_Raw!D58</f>
        <v>Palau</v>
      </c>
      <c r="F59" s="14" t="str">
        <f>IFERROR(VLOOKUP(Data_Set_Raw!E58,Data_Lookup_Ans!$C$14:$J$25,1,FALSE),VLOOKUP(Data_Set_Raw!E58,Data_Lookup_Ans!$D$14:$J$25,7,FALSE))</f>
        <v>PURA-100</v>
      </c>
      <c r="G59" s="14" t="str">
        <f>IFERROR(VLOOKUP(TRIM(Data_Set_Raw!F58),Data_Lookup_Ans!$C$8:$D$10,2,FALSE),TRIM(Data_Set_Raw!F58))</f>
        <v>Online</v>
      </c>
      <c r="H59" s="30">
        <v>42602</v>
      </c>
      <c r="I59" s="14">
        <f>VALUE(Data_Set_Raw!H58)</f>
        <v>16</v>
      </c>
      <c r="J59" s="14">
        <f>VLOOKUP(F59,Data_Lookup_Ans!$C$14:$J$25,5,FALSE)</f>
        <v>100</v>
      </c>
      <c r="K59" s="14" t="str">
        <f>VLOOKUP(F59,Data_Lookup_Ans!$C$14:$J$25,6,FALSE)</f>
        <v>ml</v>
      </c>
      <c r="L59" s="14">
        <f>Data_Set_Raw!I58</f>
        <v>4.5</v>
      </c>
      <c r="M59" s="31">
        <f t="shared" si="1"/>
        <v>72</v>
      </c>
    </row>
    <row r="60" spans="2:13">
      <c r="B60" s="8">
        <f>VALUE(Data_Set_Raw!B59)</f>
        <v>23332</v>
      </c>
      <c r="C60" s="13" t="str">
        <f>Data_Set_Raw!C59</f>
        <v>yael carter</v>
      </c>
      <c r="D60" s="13" t="str">
        <f t="shared" si="0"/>
        <v>Carter</v>
      </c>
      <c r="E60" s="14" t="str">
        <f>Data_Set_Raw!D59</f>
        <v>Malaysia</v>
      </c>
      <c r="F60" s="14" t="str">
        <f>IFERROR(VLOOKUP(Data_Set_Raw!E59,Data_Lookup_Ans!$C$14:$J$25,1,FALSE),VLOOKUP(Data_Set_Raw!E59,Data_Lookup_Ans!$D$14:$J$25,7,FALSE))</f>
        <v>PURA-250</v>
      </c>
      <c r="G60" s="14" t="str">
        <f>IFERROR(VLOOKUP(TRIM(Data_Set_Raw!F59),Data_Lookup_Ans!$C$8:$D$10,2,FALSE),TRIM(Data_Set_Raw!F59))</f>
        <v>Direct</v>
      </c>
      <c r="H60" s="30">
        <v>42210</v>
      </c>
      <c r="I60" s="14">
        <f>VALUE(Data_Set_Raw!H59)</f>
        <v>4.5</v>
      </c>
      <c r="J60" s="14">
        <f>VLOOKUP(F60,Data_Lookup_Ans!$C$14:$J$25,5,FALSE)</f>
        <v>250</v>
      </c>
      <c r="K60" s="14" t="str">
        <f>VLOOKUP(F60,Data_Lookup_Ans!$C$14:$J$25,6,FALSE)</f>
        <v>ml</v>
      </c>
      <c r="L60" s="14">
        <f>Data_Set_Raw!I59</f>
        <v>4.5</v>
      </c>
      <c r="M60" s="31">
        <f t="shared" si="1"/>
        <v>20.25</v>
      </c>
    </row>
    <row r="61" spans="2:13">
      <c r="B61" s="8">
        <f>VALUE(Data_Set_Raw!B60)</f>
        <v>23315</v>
      </c>
      <c r="C61" s="13" t="str">
        <f>Data_Set_Raw!C60</f>
        <v>anika tillman</v>
      </c>
      <c r="D61" s="13" t="str">
        <f t="shared" si="0"/>
        <v>Tillman</v>
      </c>
      <c r="E61" s="14" t="str">
        <f>Data_Set_Raw!D60</f>
        <v>Burkina Faso</v>
      </c>
      <c r="F61" s="14" t="str">
        <f>IFERROR(VLOOKUP(Data_Set_Raw!E60,Data_Lookup_Ans!$C$14:$J$25,1,FALSE),VLOOKUP(Data_Set_Raw!E60,Data_Lookup_Ans!$D$14:$J$25,7,FALSE))</f>
        <v>DETA-100</v>
      </c>
      <c r="G61" s="14" t="str">
        <f>IFERROR(VLOOKUP(TRIM(Data_Set_Raw!F60),Data_Lookup_Ans!$C$8:$D$10,2,FALSE),TRIM(Data_Set_Raw!F60))</f>
        <v>Retail</v>
      </c>
      <c r="H61" s="30">
        <v>41876</v>
      </c>
      <c r="I61" s="14">
        <f>VALUE(Data_Set_Raw!H60)</f>
        <v>109</v>
      </c>
      <c r="J61" s="14">
        <f>VLOOKUP(F61,Data_Lookup_Ans!$C$14:$J$25,5,FALSE)</f>
        <v>100</v>
      </c>
      <c r="K61" s="14" t="str">
        <f>VLOOKUP(F61,Data_Lookup_Ans!$C$14:$J$25,6,FALSE)</f>
        <v>ml</v>
      </c>
      <c r="L61" s="14">
        <f>Data_Set_Raw!I60</f>
        <v>4.5</v>
      </c>
      <c r="M61" s="31">
        <f t="shared" si="1"/>
        <v>490.5</v>
      </c>
    </row>
    <row r="62" spans="2:13">
      <c r="B62" s="8">
        <f>VALUE(Data_Set_Raw!B61)</f>
        <v>23317</v>
      </c>
      <c r="C62" s="13" t="str">
        <f>Data_Set_Raw!C61</f>
        <v>kay buckley</v>
      </c>
      <c r="D62" s="13" t="str">
        <f t="shared" si="0"/>
        <v>Buckley</v>
      </c>
      <c r="E62" s="14" t="str">
        <f>Data_Set_Raw!D61</f>
        <v>Malta</v>
      </c>
      <c r="F62" s="14" t="str">
        <f>IFERROR(VLOOKUP(Data_Set_Raw!E61,Data_Lookup_Ans!$C$14:$J$25,1,FALSE),VLOOKUP(Data_Set_Raw!E61,Data_Lookup_Ans!$D$14:$J$25,7,FALSE))</f>
        <v>DETA-100</v>
      </c>
      <c r="G62" s="14" t="str">
        <f>IFERROR(VLOOKUP(TRIM(Data_Set_Raw!F61),Data_Lookup_Ans!$C$8:$D$10,2,FALSE),TRIM(Data_Set_Raw!F61))</f>
        <v>Direct</v>
      </c>
      <c r="H62" s="30">
        <v>42592</v>
      </c>
      <c r="I62" s="14">
        <f>VALUE(Data_Set_Raw!H61)</f>
        <v>196</v>
      </c>
      <c r="J62" s="14">
        <f>VLOOKUP(F62,Data_Lookup_Ans!$C$14:$J$25,5,FALSE)</f>
        <v>100</v>
      </c>
      <c r="K62" s="14" t="str">
        <f>VLOOKUP(F62,Data_Lookup_Ans!$C$14:$J$25,6,FALSE)</f>
        <v>ml</v>
      </c>
      <c r="L62" s="14">
        <f>Data_Set_Raw!I61</f>
        <v>4.5</v>
      </c>
      <c r="M62" s="31">
        <f t="shared" si="1"/>
        <v>882</v>
      </c>
    </row>
    <row r="63" spans="2:13">
      <c r="B63" s="8">
        <f>VALUE(Data_Set_Raw!B62)</f>
        <v>23329</v>
      </c>
      <c r="C63" s="13" t="str">
        <f>Data_Set_Raw!C62</f>
        <v>melinda cobb</v>
      </c>
      <c r="D63" s="13" t="str">
        <f t="shared" si="0"/>
        <v>Cobb</v>
      </c>
      <c r="E63" s="14" t="str">
        <f>Data_Set_Raw!D62</f>
        <v>Uruguay</v>
      </c>
      <c r="F63" s="14" t="str">
        <f>IFERROR(VLOOKUP(Data_Set_Raw!E62,Data_Lookup_Ans!$C$14:$J$25,1,FALSE),VLOOKUP(Data_Set_Raw!E62,Data_Lookup_Ans!$D$14:$J$25,7,FALSE))</f>
        <v>PURA-250</v>
      </c>
      <c r="G63" s="14" t="str">
        <f>IFERROR(VLOOKUP(TRIM(Data_Set_Raw!F62),Data_Lookup_Ans!$C$8:$D$10,2,FALSE),TRIM(Data_Set_Raw!F62))</f>
        <v>Retail</v>
      </c>
      <c r="H63" s="30">
        <v>42160</v>
      </c>
      <c r="I63" s="14">
        <f>VALUE(Data_Set_Raw!H62)</f>
        <v>203</v>
      </c>
      <c r="J63" s="14">
        <f>VLOOKUP(F63,Data_Lookup_Ans!$C$14:$J$25,5,FALSE)</f>
        <v>250</v>
      </c>
      <c r="K63" s="14" t="str">
        <f>VLOOKUP(F63,Data_Lookup_Ans!$C$14:$J$25,6,FALSE)</f>
        <v>ml</v>
      </c>
      <c r="L63" s="14">
        <f>Data_Set_Raw!I62</f>
        <v>4.5</v>
      </c>
      <c r="M63" s="31">
        <f t="shared" si="1"/>
        <v>913.5</v>
      </c>
    </row>
    <row r="64" spans="2:13">
      <c r="B64" s="8">
        <f>VALUE(Data_Set_Raw!B63)</f>
        <v>23298</v>
      </c>
      <c r="C64" s="13" t="str">
        <f>Data_Set_Raw!C63</f>
        <v>ryder conner</v>
      </c>
      <c r="D64" s="13" t="str">
        <f t="shared" si="0"/>
        <v>Conner</v>
      </c>
      <c r="E64" s="14" t="str">
        <f>Data_Set_Raw!D63</f>
        <v>Virgin Islands, British</v>
      </c>
      <c r="F64" s="14" t="str">
        <f>IFERROR(VLOOKUP(Data_Set_Raw!E63,Data_Lookup_Ans!$C$14:$J$25,1,FALSE),VLOOKUP(Data_Set_Raw!E63,Data_Lookup_Ans!$D$14:$J$25,7,FALSE))</f>
        <v>SUPA-250</v>
      </c>
      <c r="G64" s="14" t="str">
        <f>IFERROR(VLOOKUP(TRIM(Data_Set_Raw!F63),Data_Lookup_Ans!$C$8:$D$10,2,FALSE),TRIM(Data_Set_Raw!F63))</f>
        <v>Direct</v>
      </c>
      <c r="H64" s="30">
        <v>42569</v>
      </c>
      <c r="I64" s="14">
        <f>VALUE(Data_Set_Raw!H63)</f>
        <v>12</v>
      </c>
      <c r="J64" s="14">
        <f>VLOOKUP(F64,Data_Lookup_Ans!$C$14:$J$25,5,FALSE)</f>
        <v>250</v>
      </c>
      <c r="K64" s="14" t="str">
        <f>VLOOKUP(F64,Data_Lookup_Ans!$C$14:$J$25,6,FALSE)</f>
        <v>ml</v>
      </c>
      <c r="L64" s="14">
        <f>Data_Set_Raw!I63</f>
        <v>4.5</v>
      </c>
      <c r="M64" s="31">
        <f t="shared" si="1"/>
        <v>54</v>
      </c>
    </row>
    <row r="65" spans="2:13">
      <c r="B65" s="8">
        <f>VALUE(Data_Set_Raw!B64)</f>
        <v>23333</v>
      </c>
      <c r="C65" s="13" t="str">
        <f>Data_Set_Raw!C64</f>
        <v>sawyer stokes</v>
      </c>
      <c r="D65" s="13" t="str">
        <f t="shared" si="0"/>
        <v>Stokes</v>
      </c>
      <c r="E65" s="14" t="str">
        <f>Data_Set_Raw!D64</f>
        <v>Malta</v>
      </c>
      <c r="F65" s="14" t="str">
        <f>IFERROR(VLOOKUP(Data_Set_Raw!E64,Data_Lookup_Ans!$C$14:$J$25,1,FALSE),VLOOKUP(Data_Set_Raw!E64,Data_Lookup_Ans!$D$14:$J$25,7,FALSE))</f>
        <v>SUPA-2000</v>
      </c>
      <c r="G65" s="14" t="str">
        <f>IFERROR(VLOOKUP(TRIM(Data_Set_Raw!F64),Data_Lookup_Ans!$C$8:$D$10,2,FALSE),TRIM(Data_Set_Raw!F64))</f>
        <v>Online</v>
      </c>
      <c r="H65" s="30">
        <v>41846</v>
      </c>
      <c r="I65" s="14">
        <f>VALUE(Data_Set_Raw!H64)</f>
        <v>106</v>
      </c>
      <c r="J65" s="14">
        <f>VLOOKUP(F65,Data_Lookup_Ans!$C$14:$J$25,5,FALSE)</f>
        <v>2000</v>
      </c>
      <c r="K65" s="14" t="str">
        <f>VLOOKUP(F65,Data_Lookup_Ans!$C$14:$J$25,6,FALSE)</f>
        <v>ml</v>
      </c>
      <c r="L65" s="14">
        <f>Data_Set_Raw!I64</f>
        <v>4.5</v>
      </c>
      <c r="M65" s="31">
        <f t="shared" si="1"/>
        <v>477</v>
      </c>
    </row>
    <row r="66" spans="2:13">
      <c r="B66" s="8">
        <f>VALUE(Data_Set_Raw!B65)</f>
        <v>23338</v>
      </c>
      <c r="C66" s="13" t="str">
        <f>Data_Set_Raw!C65</f>
        <v>george best</v>
      </c>
      <c r="D66" s="13" t="str">
        <f t="shared" si="0"/>
        <v>Best</v>
      </c>
      <c r="E66" s="14" t="str">
        <f>Data_Set_Raw!D65</f>
        <v>Western Sahara</v>
      </c>
      <c r="F66" s="14" t="str">
        <f>IFERROR(VLOOKUP(Data_Set_Raw!E65,Data_Lookup_Ans!$C$14:$J$25,1,FALSE),VLOOKUP(Data_Set_Raw!E65,Data_Lookup_Ans!$D$14:$J$25,7,FALSE))</f>
        <v>PURA-250</v>
      </c>
      <c r="G66" s="14" t="str">
        <f>IFERROR(VLOOKUP(TRIM(Data_Set_Raw!F65),Data_Lookup_Ans!$C$8:$D$10,2,FALSE),TRIM(Data_Set_Raw!F65))</f>
        <v>Retail</v>
      </c>
      <c r="H66" s="30">
        <v>41872</v>
      </c>
      <c r="I66" s="14">
        <f>VALUE(Data_Set_Raw!H65)</f>
        <v>178</v>
      </c>
      <c r="J66" s="14">
        <f>VLOOKUP(F66,Data_Lookup_Ans!$C$14:$J$25,5,FALSE)</f>
        <v>250</v>
      </c>
      <c r="K66" s="14" t="str">
        <f>VLOOKUP(F66,Data_Lookup_Ans!$C$14:$J$25,6,FALSE)</f>
        <v>ml</v>
      </c>
      <c r="L66" s="14">
        <f>Data_Set_Raw!I65</f>
        <v>4.5</v>
      </c>
      <c r="M66" s="31">
        <f t="shared" si="1"/>
        <v>801</v>
      </c>
    </row>
    <row r="67" spans="2:13">
      <c r="B67" s="8">
        <f>VALUE(Data_Set_Raw!B66)</f>
        <v>23377</v>
      </c>
      <c r="C67" s="13" t="str">
        <f>Data_Set_Raw!C66</f>
        <v>eleanor hopper</v>
      </c>
      <c r="D67" s="13" t="str">
        <f t="shared" si="0"/>
        <v>Hopper</v>
      </c>
      <c r="E67" s="14" t="str">
        <f>Data_Set_Raw!D66</f>
        <v>Madagascar</v>
      </c>
      <c r="F67" s="14" t="str">
        <f>IFERROR(VLOOKUP(Data_Set_Raw!E66,Data_Lookup_Ans!$C$14:$J$25,1,FALSE),VLOOKUP(Data_Set_Raw!E66,Data_Lookup_Ans!$D$14:$J$25,7,FALSE))</f>
        <v>DETA-100</v>
      </c>
      <c r="G67" s="14" t="str">
        <f>IFERROR(VLOOKUP(TRIM(Data_Set_Raw!F66),Data_Lookup_Ans!$C$8:$D$10,2,FALSE),TRIM(Data_Set_Raw!F66))</f>
        <v>Online</v>
      </c>
      <c r="H67" s="30">
        <v>41824</v>
      </c>
      <c r="I67" s="14">
        <f>VALUE(Data_Set_Raw!H66)</f>
        <v>43</v>
      </c>
      <c r="J67" s="14">
        <f>VLOOKUP(F67,Data_Lookup_Ans!$C$14:$J$25,5,FALSE)</f>
        <v>100</v>
      </c>
      <c r="K67" s="14" t="str">
        <f>VLOOKUP(F67,Data_Lookup_Ans!$C$14:$J$25,6,FALSE)</f>
        <v>ml</v>
      </c>
      <c r="L67" s="14">
        <f>Data_Set_Raw!I66</f>
        <v>6.5</v>
      </c>
      <c r="M67" s="31">
        <f t="shared" si="1"/>
        <v>279.5</v>
      </c>
    </row>
    <row r="68" spans="2:13">
      <c r="B68" s="8">
        <f>VALUE(Data_Set_Raw!B67)</f>
        <v>23369</v>
      </c>
      <c r="C68" s="13" t="str">
        <f>Data_Set_Raw!C67</f>
        <v>ivor mclaughlin</v>
      </c>
      <c r="D68" s="13" t="str">
        <f t="shared" si="0"/>
        <v>Mclaughlin</v>
      </c>
      <c r="E68" s="14" t="str">
        <f>Data_Set_Raw!D67</f>
        <v>United States Minor Outlying Islands</v>
      </c>
      <c r="F68" s="14" t="str">
        <f>IFERROR(VLOOKUP(Data_Set_Raw!E67,Data_Lookup_Ans!$C$14:$J$25,1,FALSE),VLOOKUP(Data_Set_Raw!E67,Data_Lookup_Ans!$D$14:$J$25,7,FALSE))</f>
        <v>SUPA-500</v>
      </c>
      <c r="G68" s="14" t="str">
        <f>IFERROR(VLOOKUP(TRIM(Data_Set_Raw!F67),Data_Lookup_Ans!$C$8:$D$10,2,FALSE),TRIM(Data_Set_Raw!F67))</f>
        <v>Retail</v>
      </c>
      <c r="H68" s="30">
        <v>42210</v>
      </c>
      <c r="I68" s="14">
        <f>VALUE(Data_Set_Raw!H67)</f>
        <v>77</v>
      </c>
      <c r="J68" s="14">
        <f>VLOOKUP(F68,Data_Lookup_Ans!$C$14:$J$25,5,FALSE)</f>
        <v>500</v>
      </c>
      <c r="K68" s="14" t="str">
        <f>VLOOKUP(F68,Data_Lookup_Ans!$C$14:$J$25,6,FALSE)</f>
        <v>ml</v>
      </c>
      <c r="L68" s="14">
        <f>Data_Set_Raw!I67</f>
        <v>6.5</v>
      </c>
      <c r="M68" s="31">
        <f t="shared" si="1"/>
        <v>500.5</v>
      </c>
    </row>
    <row r="69" spans="2:13">
      <c r="B69" s="8">
        <f>VALUE(Data_Set_Raw!B68)</f>
        <v>23380</v>
      </c>
      <c r="C69" s="13" t="str">
        <f>Data_Set_Raw!C68</f>
        <v>ivory chang</v>
      </c>
      <c r="D69" s="13" t="str">
        <f t="shared" si="0"/>
        <v>Chang</v>
      </c>
      <c r="E69" s="14" t="str">
        <f>Data_Set_Raw!D68</f>
        <v>Tonga</v>
      </c>
      <c r="F69" s="14" t="str">
        <f>IFERROR(VLOOKUP(Data_Set_Raw!E68,Data_Lookup_Ans!$C$14:$J$25,1,FALSE),VLOOKUP(Data_Set_Raw!E68,Data_Lookup_Ans!$D$14:$J$25,7,FALSE))</f>
        <v>DETA-200</v>
      </c>
      <c r="G69" s="14" t="str">
        <f>IFERROR(VLOOKUP(TRIM(Data_Set_Raw!F68),Data_Lookup_Ans!$C$8:$D$10,2,FALSE),TRIM(Data_Set_Raw!F68))</f>
        <v>Retail</v>
      </c>
      <c r="H69" s="30">
        <v>42163</v>
      </c>
      <c r="I69" s="14">
        <f>VALUE(Data_Set_Raw!H68)</f>
        <v>95</v>
      </c>
      <c r="J69" s="14">
        <f>VLOOKUP(F69,Data_Lookup_Ans!$C$14:$J$25,5,FALSE)</f>
        <v>200</v>
      </c>
      <c r="K69" s="14" t="str">
        <f>VLOOKUP(F69,Data_Lookup_Ans!$C$14:$J$25,6,FALSE)</f>
        <v>ml</v>
      </c>
      <c r="L69" s="14">
        <f>Data_Set_Raw!I68</f>
        <v>6.5</v>
      </c>
      <c r="M69" s="31">
        <f t="shared" si="1"/>
        <v>617.5</v>
      </c>
    </row>
    <row r="70" spans="2:13">
      <c r="B70" s="8">
        <f>VALUE(Data_Set_Raw!B69)</f>
        <v>23302</v>
      </c>
      <c r="C70" s="13" t="str">
        <f>Data_Set_Raw!C69</f>
        <v>isaac wolf</v>
      </c>
      <c r="D70" s="13" t="str">
        <f t="shared" si="0"/>
        <v>Wolf</v>
      </c>
      <c r="E70" s="14" t="str">
        <f>Data_Set_Raw!D69</f>
        <v>Panama</v>
      </c>
      <c r="F70" s="14" t="str">
        <f>IFERROR(VLOOKUP(Data_Set_Raw!E69,Data_Lookup_Ans!$C$14:$J$25,1,FALSE),VLOOKUP(Data_Set_Raw!E69,Data_Lookup_Ans!$D$14:$J$25,7,FALSE))</f>
        <v>PURA-500</v>
      </c>
      <c r="G70" s="14" t="str">
        <f>IFERROR(VLOOKUP(TRIM(Data_Set_Raw!F69),Data_Lookup_Ans!$C$8:$D$10,2,FALSE),TRIM(Data_Set_Raw!F69))</f>
        <v>Online</v>
      </c>
      <c r="H70" s="30">
        <v>41854</v>
      </c>
      <c r="I70" s="14">
        <f>VALUE(Data_Set_Raw!H69)</f>
        <v>105</v>
      </c>
      <c r="J70" s="14">
        <f>VLOOKUP(F70,Data_Lookup_Ans!$C$14:$J$25,5,FALSE)</f>
        <v>500</v>
      </c>
      <c r="K70" s="14" t="str">
        <f>VLOOKUP(F70,Data_Lookup_Ans!$C$14:$J$25,6,FALSE)</f>
        <v>ml</v>
      </c>
      <c r="L70" s="14">
        <f>Data_Set_Raw!I69</f>
        <v>6.5</v>
      </c>
      <c r="M70" s="31">
        <f t="shared" si="1"/>
        <v>682.5</v>
      </c>
    </row>
    <row r="71" spans="2:13">
      <c r="B71" s="8">
        <f>VALUE(Data_Set_Raw!B70)</f>
        <v>23276</v>
      </c>
      <c r="C71" s="13" t="str">
        <f>Data_Set_Raw!C70</f>
        <v>hayes rollins</v>
      </c>
      <c r="D71" s="13" t="str">
        <f t="shared" si="0"/>
        <v>Rollins</v>
      </c>
      <c r="E71" s="14" t="str">
        <f>Data_Set_Raw!D70</f>
        <v>Nepal</v>
      </c>
      <c r="F71" s="14" t="str">
        <f>IFERROR(VLOOKUP(Data_Set_Raw!E70,Data_Lookup_Ans!$C$14:$J$25,1,FALSE),VLOOKUP(Data_Set_Raw!E70,Data_Lookup_Ans!$D$14:$J$25,7,FALSE))</f>
        <v>PURA-250</v>
      </c>
      <c r="G71" s="14" t="str">
        <f>IFERROR(VLOOKUP(TRIM(Data_Set_Raw!F70),Data_Lookup_Ans!$C$8:$D$10,2,FALSE),TRIM(Data_Set_Raw!F70))</f>
        <v>Online</v>
      </c>
      <c r="H71" s="30">
        <v>41805</v>
      </c>
      <c r="I71" s="14">
        <f>VALUE(Data_Set_Raw!H70)</f>
        <v>65</v>
      </c>
      <c r="J71" s="14">
        <f>VLOOKUP(F71,Data_Lookup_Ans!$C$14:$J$25,5,FALSE)</f>
        <v>250</v>
      </c>
      <c r="K71" s="14" t="str">
        <f>VLOOKUP(F71,Data_Lookup_Ans!$C$14:$J$25,6,FALSE)</f>
        <v>ml</v>
      </c>
      <c r="L71" s="14">
        <f>Data_Set_Raw!I70</f>
        <v>6.5</v>
      </c>
      <c r="M71" s="31">
        <f t="shared" si="1"/>
        <v>422.5</v>
      </c>
    </row>
    <row r="72" spans="2:13">
      <c r="B72" s="8">
        <f>VALUE(Data_Set_Raw!B71)</f>
        <v>23372</v>
      </c>
      <c r="C72" s="13" t="str">
        <f>Data_Set_Raw!C71</f>
        <v>phillip perkins</v>
      </c>
      <c r="D72" s="13" t="str">
        <f t="shared" si="0"/>
        <v>Perkins</v>
      </c>
      <c r="E72" s="14" t="str">
        <f>Data_Set_Raw!D71</f>
        <v>Nigeria</v>
      </c>
      <c r="F72" s="14" t="str">
        <f>IFERROR(VLOOKUP(Data_Set_Raw!E71,Data_Lookup_Ans!$C$14:$J$25,1,FALSE),VLOOKUP(Data_Set_Raw!E71,Data_Lookup_Ans!$D$14:$J$25,7,FALSE))</f>
        <v>SUPA-500</v>
      </c>
      <c r="G72" s="14" t="str">
        <f>IFERROR(VLOOKUP(TRIM(Data_Set_Raw!F71),Data_Lookup_Ans!$C$8:$D$10,2,FALSE),TRIM(Data_Set_Raw!F71))</f>
        <v>Online</v>
      </c>
      <c r="H72" s="30">
        <v>41840</v>
      </c>
      <c r="I72" s="14">
        <f>VALUE(Data_Set_Raw!H71)</f>
        <v>22</v>
      </c>
      <c r="J72" s="14">
        <f>VLOOKUP(F72,Data_Lookup_Ans!$C$14:$J$25,5,FALSE)</f>
        <v>500</v>
      </c>
      <c r="K72" s="14" t="str">
        <f>VLOOKUP(F72,Data_Lookup_Ans!$C$14:$J$25,6,FALSE)</f>
        <v>ml</v>
      </c>
      <c r="L72" s="14">
        <f>Data_Set_Raw!I71</f>
        <v>6.5</v>
      </c>
      <c r="M72" s="31">
        <f t="shared" si="1"/>
        <v>143</v>
      </c>
    </row>
    <row r="73" spans="2:13">
      <c r="B73" s="8">
        <f>VALUE(Data_Set_Raw!B72)</f>
        <v>23358</v>
      </c>
      <c r="C73" s="13" t="str">
        <f>Data_Set_Raw!C72</f>
        <v>joel rivers</v>
      </c>
      <c r="D73" s="13" t="str">
        <f t="shared" si="0"/>
        <v>Rivers</v>
      </c>
      <c r="E73" s="14" t="str">
        <f>Data_Set_Raw!D72</f>
        <v>Australia</v>
      </c>
      <c r="F73" s="14" t="str">
        <f>IFERROR(VLOOKUP(Data_Set_Raw!E72,Data_Lookup_Ans!$C$14:$J$25,1,FALSE),VLOOKUP(Data_Set_Raw!E72,Data_Lookup_Ans!$D$14:$J$25,7,FALSE))</f>
        <v>SUPA-250</v>
      </c>
      <c r="G73" s="14" t="str">
        <f>IFERROR(VLOOKUP(TRIM(Data_Set_Raw!F72),Data_Lookup_Ans!$C$8:$D$10,2,FALSE),TRIM(Data_Set_Raw!F72))</f>
        <v>Retail</v>
      </c>
      <c r="H73" s="30">
        <v>41799</v>
      </c>
      <c r="I73" s="14">
        <f>VALUE(Data_Set_Raw!H72)</f>
        <v>41</v>
      </c>
      <c r="J73" s="14">
        <f>VLOOKUP(F73,Data_Lookup_Ans!$C$14:$J$25,5,FALSE)</f>
        <v>250</v>
      </c>
      <c r="K73" s="14" t="str">
        <f>VLOOKUP(F73,Data_Lookup_Ans!$C$14:$J$25,6,FALSE)</f>
        <v>ml</v>
      </c>
      <c r="L73" s="14">
        <f>Data_Set_Raw!I72</f>
        <v>9.99</v>
      </c>
      <c r="M73" s="31">
        <f t="shared" si="1"/>
        <v>409.59000000000003</v>
      </c>
    </row>
    <row r="74" spans="2:13">
      <c r="B74" s="8">
        <f>VALUE(Data_Set_Raw!B73)</f>
        <v>23288</v>
      </c>
      <c r="C74" s="13" t="str">
        <f>Data_Set_Raw!C73</f>
        <v>ingrid bush</v>
      </c>
      <c r="D74" s="13" t="str">
        <f t="shared" ref="D74:D108" si="2">PROPER(RIGHT(C74,LEN(C74)-FIND(" ",C74,1)))</f>
        <v>Bush</v>
      </c>
      <c r="E74" s="14" t="str">
        <f>Data_Set_Raw!D73</f>
        <v>Montserrat</v>
      </c>
      <c r="F74" s="14" t="str">
        <f>IFERROR(VLOOKUP(Data_Set_Raw!E73,Data_Lookup_Ans!$C$14:$J$25,1,FALSE),VLOOKUP(Data_Set_Raw!E73,Data_Lookup_Ans!$D$14:$J$25,7,FALSE))</f>
        <v>DETA-200</v>
      </c>
      <c r="G74" s="14" t="str">
        <f>IFERROR(VLOOKUP(TRIM(Data_Set_Raw!F73),Data_Lookup_Ans!$C$8:$D$10,2,FALSE),TRIM(Data_Set_Raw!F73))</f>
        <v>Direct</v>
      </c>
      <c r="H74" s="30">
        <v>42609</v>
      </c>
      <c r="I74" s="14">
        <f>VALUE(Data_Set_Raw!H73)</f>
        <v>141</v>
      </c>
      <c r="J74" s="14">
        <f>VLOOKUP(F74,Data_Lookup_Ans!$C$14:$J$25,5,FALSE)</f>
        <v>200</v>
      </c>
      <c r="K74" s="14" t="str">
        <f>VLOOKUP(F74,Data_Lookup_Ans!$C$14:$J$25,6,FALSE)</f>
        <v>ml</v>
      </c>
      <c r="L74" s="14">
        <f>Data_Set_Raw!I73</f>
        <v>9.99</v>
      </c>
      <c r="M74" s="31">
        <f t="shared" ref="M74:M108" si="3">L74*I74</f>
        <v>1408.59</v>
      </c>
    </row>
    <row r="75" spans="2:13">
      <c r="B75" s="8">
        <f>VALUE(Data_Set_Raw!B74)</f>
        <v>23310</v>
      </c>
      <c r="C75" s="13" t="str">
        <f>Data_Set_Raw!C74</f>
        <v>kenyon joyce</v>
      </c>
      <c r="D75" s="13" t="str">
        <f t="shared" si="2"/>
        <v>Joyce</v>
      </c>
      <c r="E75" s="14" t="str">
        <f>Data_Set_Raw!D74</f>
        <v>Canada</v>
      </c>
      <c r="F75" s="14" t="str">
        <f>IFERROR(VLOOKUP(Data_Set_Raw!E74,Data_Lookup_Ans!$C$14:$J$25,1,FALSE),VLOOKUP(Data_Set_Raw!E74,Data_Lookup_Ans!$D$14:$J$25,7,FALSE))</f>
        <v>SUPA-500</v>
      </c>
      <c r="G75" s="14" t="str">
        <f>IFERROR(VLOOKUP(TRIM(Data_Set_Raw!F74),Data_Lookup_Ans!$C$8:$D$10,2,FALSE),TRIM(Data_Set_Raw!F74))</f>
        <v>Online</v>
      </c>
      <c r="H75" s="30">
        <v>42194</v>
      </c>
      <c r="I75" s="14">
        <f>VALUE(Data_Set_Raw!H74)</f>
        <v>41</v>
      </c>
      <c r="J75" s="14">
        <f>VLOOKUP(F75,Data_Lookup_Ans!$C$14:$J$25,5,FALSE)</f>
        <v>500</v>
      </c>
      <c r="K75" s="14" t="str">
        <f>VLOOKUP(F75,Data_Lookup_Ans!$C$14:$J$25,6,FALSE)</f>
        <v>ml</v>
      </c>
      <c r="L75" s="14">
        <f>Data_Set_Raw!I74</f>
        <v>9.99</v>
      </c>
      <c r="M75" s="31">
        <f t="shared" si="3"/>
        <v>409.59000000000003</v>
      </c>
    </row>
    <row r="76" spans="2:13">
      <c r="B76" s="8">
        <f>VALUE(Data_Set_Raw!B75)</f>
        <v>23300</v>
      </c>
      <c r="C76" s="13" t="str">
        <f>Data_Set_Raw!C75</f>
        <v>rhona clarke</v>
      </c>
      <c r="D76" s="13" t="str">
        <f t="shared" si="2"/>
        <v>Clarke</v>
      </c>
      <c r="E76" s="14" t="str">
        <f>Data_Set_Raw!D75</f>
        <v>Zimbabwe</v>
      </c>
      <c r="F76" s="14" t="str">
        <f>IFERROR(VLOOKUP(Data_Set_Raw!E75,Data_Lookup_Ans!$C$14:$J$25,1,FALSE),VLOOKUP(Data_Set_Raw!E75,Data_Lookup_Ans!$D$14:$J$25,7,FALSE))</f>
        <v>PURA-500</v>
      </c>
      <c r="G76" s="14" t="str">
        <f>IFERROR(VLOOKUP(TRIM(Data_Set_Raw!F75),Data_Lookup_Ans!$C$8:$D$10,2,FALSE),TRIM(Data_Set_Raw!F75))</f>
        <v>Online</v>
      </c>
      <c r="H76" s="30">
        <v>42181</v>
      </c>
      <c r="I76" s="14">
        <f>VALUE(Data_Set_Raw!H75)</f>
        <v>9.99</v>
      </c>
      <c r="J76" s="14">
        <f>VLOOKUP(F76,Data_Lookup_Ans!$C$14:$J$25,5,FALSE)</f>
        <v>500</v>
      </c>
      <c r="K76" s="14" t="str">
        <f>VLOOKUP(F76,Data_Lookup_Ans!$C$14:$J$25,6,FALSE)</f>
        <v>ml</v>
      </c>
      <c r="L76" s="14">
        <f>Data_Set_Raw!I75</f>
        <v>9.99</v>
      </c>
      <c r="M76" s="31">
        <f t="shared" si="3"/>
        <v>99.8001</v>
      </c>
    </row>
    <row r="77" spans="2:13">
      <c r="B77" s="8">
        <f>VALUE(Data_Set_Raw!B76)</f>
        <v>23346</v>
      </c>
      <c r="C77" s="13" t="str">
        <f>Data_Set_Raw!C76</f>
        <v>aretha patton</v>
      </c>
      <c r="D77" s="13" t="str">
        <f t="shared" si="2"/>
        <v>Patton</v>
      </c>
      <c r="E77" s="14" t="str">
        <f>Data_Set_Raw!D76</f>
        <v>Bouvet Island</v>
      </c>
      <c r="F77" s="14" t="str">
        <f>IFERROR(VLOOKUP(Data_Set_Raw!E76,Data_Lookup_Ans!$C$14:$J$25,1,FALSE),VLOOKUP(Data_Set_Raw!E76,Data_Lookup_Ans!$D$14:$J$25,7,FALSE))</f>
        <v>PURA-250</v>
      </c>
      <c r="G77" s="14" t="str">
        <f>IFERROR(VLOOKUP(TRIM(Data_Set_Raw!F76),Data_Lookup_Ans!$C$8:$D$10,2,FALSE),TRIM(Data_Set_Raw!F76))</f>
        <v>Online</v>
      </c>
      <c r="H77" s="30">
        <v>42202</v>
      </c>
      <c r="I77" s="14">
        <f>VALUE(Data_Set_Raw!H76)</f>
        <v>13</v>
      </c>
      <c r="J77" s="14">
        <f>VLOOKUP(F77,Data_Lookup_Ans!$C$14:$J$25,5,FALSE)</f>
        <v>250</v>
      </c>
      <c r="K77" s="14" t="str">
        <f>VLOOKUP(F77,Data_Lookup_Ans!$C$14:$J$25,6,FALSE)</f>
        <v>ml</v>
      </c>
      <c r="L77" s="14">
        <f>Data_Set_Raw!I76</f>
        <v>9.99</v>
      </c>
      <c r="M77" s="31">
        <f t="shared" si="3"/>
        <v>129.87</v>
      </c>
    </row>
    <row r="78" spans="2:13">
      <c r="B78" s="8">
        <f>VALUE(Data_Set_Raw!B77)</f>
        <v>23265</v>
      </c>
      <c r="C78" s="13" t="str">
        <f>Data_Set_Raw!C77</f>
        <v>uriel benton</v>
      </c>
      <c r="D78" s="13" t="str">
        <f t="shared" si="2"/>
        <v>Benton</v>
      </c>
      <c r="E78" s="14" t="str">
        <f>Data_Set_Raw!D77</f>
        <v>South Africa</v>
      </c>
      <c r="F78" s="14" t="str">
        <f>IFERROR(VLOOKUP(Data_Set_Raw!E77,Data_Lookup_Ans!$C$14:$J$25,1,FALSE),VLOOKUP(Data_Set_Raw!E77,Data_Lookup_Ans!$D$14:$J$25,7,FALSE))</f>
        <v>SUPA-1000</v>
      </c>
      <c r="G78" s="14" t="str">
        <f>IFERROR(VLOOKUP(TRIM(Data_Set_Raw!F77),Data_Lookup_Ans!$C$8:$D$10,2,FALSE),TRIM(Data_Set_Raw!F77))</f>
        <v>Retail</v>
      </c>
      <c r="H78" s="30">
        <v>42165</v>
      </c>
      <c r="I78" s="14">
        <f>VALUE(Data_Set_Raw!H77)</f>
        <v>14</v>
      </c>
      <c r="J78" s="14">
        <f>VLOOKUP(F78,Data_Lookup_Ans!$C$14:$J$25,5,FALSE)</f>
        <v>1000</v>
      </c>
      <c r="K78" s="14" t="str">
        <f>VLOOKUP(F78,Data_Lookup_Ans!$C$14:$J$25,6,FALSE)</f>
        <v>ml</v>
      </c>
      <c r="L78" s="14">
        <f>Data_Set_Raw!I77</f>
        <v>9.99</v>
      </c>
      <c r="M78" s="31">
        <f t="shared" si="3"/>
        <v>139.86000000000001</v>
      </c>
    </row>
    <row r="79" spans="2:13">
      <c r="B79" s="8">
        <f>VALUE(Data_Set_Raw!B78)</f>
        <v>23314</v>
      </c>
      <c r="C79" s="13" t="str">
        <f>Data_Set_Raw!C78</f>
        <v>maxine gentry</v>
      </c>
      <c r="D79" s="13" t="str">
        <f t="shared" si="2"/>
        <v>Gentry</v>
      </c>
      <c r="E79" s="14" t="str">
        <f>Data_Set_Raw!D78</f>
        <v>Panama</v>
      </c>
      <c r="F79" s="14" t="str">
        <f>IFERROR(VLOOKUP(Data_Set_Raw!E78,Data_Lookup_Ans!$C$14:$J$25,1,FALSE),VLOOKUP(Data_Set_Raw!E78,Data_Lookup_Ans!$D$14:$J$25,7,FALSE))</f>
        <v>DETA-200</v>
      </c>
      <c r="G79" s="14" t="str">
        <f>IFERROR(VLOOKUP(TRIM(Data_Set_Raw!F78),Data_Lookup_Ans!$C$8:$D$10,2,FALSE),TRIM(Data_Set_Raw!F78))</f>
        <v>Retail</v>
      </c>
      <c r="H79" s="30">
        <v>42558</v>
      </c>
      <c r="I79" s="14">
        <f>VALUE(Data_Set_Raw!H78)</f>
        <v>95</v>
      </c>
      <c r="J79" s="14">
        <f>VLOOKUP(F79,Data_Lookup_Ans!$C$14:$J$25,5,FALSE)</f>
        <v>200</v>
      </c>
      <c r="K79" s="14" t="str">
        <f>VLOOKUP(F79,Data_Lookup_Ans!$C$14:$J$25,6,FALSE)</f>
        <v>ml</v>
      </c>
      <c r="L79" s="14">
        <f>Data_Set_Raw!I78</f>
        <v>9.99</v>
      </c>
      <c r="M79" s="31">
        <f t="shared" si="3"/>
        <v>949.05000000000007</v>
      </c>
    </row>
    <row r="80" spans="2:13">
      <c r="B80" s="8">
        <f>VALUE(Data_Set_Raw!B79)</f>
        <v>23273</v>
      </c>
      <c r="C80" s="13" t="str">
        <f>Data_Set_Raw!C79</f>
        <v>isaac cooper</v>
      </c>
      <c r="D80" s="13" t="str">
        <f t="shared" si="2"/>
        <v>Cooper</v>
      </c>
      <c r="E80" s="14" t="str">
        <f>Data_Set_Raw!D79</f>
        <v>Netherlands Antilles</v>
      </c>
      <c r="F80" s="14" t="str">
        <f>IFERROR(VLOOKUP(Data_Set_Raw!E79,Data_Lookup_Ans!$C$14:$J$25,1,FALSE),VLOOKUP(Data_Set_Raw!E79,Data_Lookup_Ans!$D$14:$J$25,7,FALSE))</f>
        <v>DETA-200</v>
      </c>
      <c r="G80" s="14" t="str">
        <f>IFERROR(VLOOKUP(TRIM(Data_Set_Raw!F79),Data_Lookup_Ans!$C$8:$D$10,2,FALSE),TRIM(Data_Set_Raw!F79))</f>
        <v>Online</v>
      </c>
      <c r="H80" s="30">
        <v>42532</v>
      </c>
      <c r="I80" s="14">
        <f>VALUE(Data_Set_Raw!H79)</f>
        <v>22</v>
      </c>
      <c r="J80" s="14">
        <f>VLOOKUP(F80,Data_Lookup_Ans!$C$14:$J$25,5,FALSE)</f>
        <v>200</v>
      </c>
      <c r="K80" s="14" t="str">
        <f>VLOOKUP(F80,Data_Lookup_Ans!$C$14:$J$25,6,FALSE)</f>
        <v>ml</v>
      </c>
      <c r="L80" s="14">
        <f>Data_Set_Raw!I79</f>
        <v>9.99</v>
      </c>
      <c r="M80" s="31">
        <f t="shared" si="3"/>
        <v>219.78</v>
      </c>
    </row>
    <row r="81" spans="2:13">
      <c r="B81" s="8">
        <f>VALUE(Data_Set_Raw!B80)</f>
        <v>23324</v>
      </c>
      <c r="C81" s="13" t="str">
        <f>Data_Set_Raw!C80</f>
        <v>noble warner</v>
      </c>
      <c r="D81" s="13" t="str">
        <f t="shared" si="2"/>
        <v>Warner</v>
      </c>
      <c r="E81" s="14" t="str">
        <f>Data_Set_Raw!D80</f>
        <v>Burkina Faso</v>
      </c>
      <c r="F81" s="14" t="str">
        <f>IFERROR(VLOOKUP(Data_Set_Raw!E80,Data_Lookup_Ans!$C$14:$J$25,1,FALSE),VLOOKUP(Data_Set_Raw!E80,Data_Lookup_Ans!$D$14:$J$25,7,FALSE))</f>
        <v>PURA-500</v>
      </c>
      <c r="G81" s="14" t="str">
        <f>IFERROR(VLOOKUP(TRIM(Data_Set_Raw!F80),Data_Lookup_Ans!$C$8:$D$10,2,FALSE),TRIM(Data_Set_Raw!F80))</f>
        <v>Retail</v>
      </c>
      <c r="H81" s="30">
        <v>42522</v>
      </c>
      <c r="I81" s="14">
        <f>VALUE(Data_Set_Raw!H80)</f>
        <v>193</v>
      </c>
      <c r="J81" s="14">
        <f>VLOOKUP(F81,Data_Lookup_Ans!$C$14:$J$25,5,FALSE)</f>
        <v>500</v>
      </c>
      <c r="K81" s="14" t="str">
        <f>VLOOKUP(F81,Data_Lookup_Ans!$C$14:$J$25,6,FALSE)</f>
        <v>ml</v>
      </c>
      <c r="L81" s="14">
        <f>Data_Set_Raw!I80</f>
        <v>9.99</v>
      </c>
      <c r="M81" s="31">
        <f t="shared" si="3"/>
        <v>1928.07</v>
      </c>
    </row>
    <row r="82" spans="2:13">
      <c r="B82" s="8">
        <f>VALUE(Data_Set_Raw!B81)</f>
        <v>23343</v>
      </c>
      <c r="C82" s="13" t="str">
        <f>Data_Set_Raw!C81</f>
        <v>josiah yates</v>
      </c>
      <c r="D82" s="13" t="str">
        <f t="shared" si="2"/>
        <v>Yates</v>
      </c>
      <c r="E82" s="14" t="str">
        <f>Data_Set_Raw!D81</f>
        <v>Bangladesh</v>
      </c>
      <c r="F82" s="14" t="str">
        <f>IFERROR(VLOOKUP(Data_Set_Raw!E81,Data_Lookup_Ans!$C$14:$J$25,1,FALSE),VLOOKUP(Data_Set_Raw!E81,Data_Lookup_Ans!$D$14:$J$25,7,FALSE))</f>
        <v>SUPA-2000</v>
      </c>
      <c r="G82" s="14" t="str">
        <f>IFERROR(VLOOKUP(TRIM(Data_Set_Raw!F81),Data_Lookup_Ans!$C$8:$D$10,2,FALSE),TRIM(Data_Set_Raw!F81))</f>
        <v>Online</v>
      </c>
      <c r="H82" s="30">
        <v>41864</v>
      </c>
      <c r="I82" s="14">
        <f>VALUE(Data_Set_Raw!H81)</f>
        <v>42</v>
      </c>
      <c r="J82" s="14">
        <f>VLOOKUP(F82,Data_Lookup_Ans!$C$14:$J$25,5,FALSE)</f>
        <v>2000</v>
      </c>
      <c r="K82" s="14" t="str">
        <f>VLOOKUP(F82,Data_Lookup_Ans!$C$14:$J$25,6,FALSE)</f>
        <v>ml</v>
      </c>
      <c r="L82" s="14">
        <f>Data_Set_Raw!I81</f>
        <v>9.99</v>
      </c>
      <c r="M82" s="31">
        <f t="shared" si="3"/>
        <v>419.58</v>
      </c>
    </row>
    <row r="83" spans="2:13">
      <c r="B83" s="8">
        <f>VALUE(Data_Set_Raw!B82)</f>
        <v>23296</v>
      </c>
      <c r="C83" s="13" t="str">
        <f>Data_Set_Raw!C82</f>
        <v>india gilbert</v>
      </c>
      <c r="D83" s="13" t="str">
        <f t="shared" si="2"/>
        <v>Gilbert</v>
      </c>
      <c r="E83" s="14" t="str">
        <f>Data_Set_Raw!D82</f>
        <v>Denmark</v>
      </c>
      <c r="F83" s="14" t="str">
        <f>IFERROR(VLOOKUP(Data_Set_Raw!E82,Data_Lookup_Ans!$C$14:$J$25,1,FALSE),VLOOKUP(Data_Set_Raw!E82,Data_Lookup_Ans!$D$14:$J$25,7,FALSE))</f>
        <v>PURA-200</v>
      </c>
      <c r="G83" s="14" t="str">
        <f>IFERROR(VLOOKUP(TRIM(Data_Set_Raw!F82),Data_Lookup_Ans!$C$8:$D$10,2,FALSE),TRIM(Data_Set_Raw!F82))</f>
        <v>Retail</v>
      </c>
      <c r="H83" s="30">
        <v>42566</v>
      </c>
      <c r="I83" s="14">
        <f>VALUE(Data_Set_Raw!H82)</f>
        <v>37</v>
      </c>
      <c r="J83" s="14">
        <f>VLOOKUP(F83,Data_Lookup_Ans!$C$14:$J$25,5,FALSE)</f>
        <v>200</v>
      </c>
      <c r="K83" s="14" t="str">
        <f>VLOOKUP(F83,Data_Lookup_Ans!$C$14:$J$25,6,FALSE)</f>
        <v>ml</v>
      </c>
      <c r="L83" s="14">
        <f>Data_Set_Raw!I82</f>
        <v>14.5</v>
      </c>
      <c r="M83" s="31">
        <f t="shared" si="3"/>
        <v>536.5</v>
      </c>
    </row>
    <row r="84" spans="2:13">
      <c r="B84" s="8">
        <f>VALUE(Data_Set_Raw!B83)</f>
        <v>23353</v>
      </c>
      <c r="C84" s="13" t="str">
        <f>Data_Set_Raw!C83</f>
        <v>zahir fields</v>
      </c>
      <c r="D84" s="13" t="str">
        <f t="shared" si="2"/>
        <v>Fields</v>
      </c>
      <c r="E84" s="14" t="str">
        <f>Data_Set_Raw!D83</f>
        <v>Canada</v>
      </c>
      <c r="F84" s="14" t="str">
        <f>IFERROR(VLOOKUP(Data_Set_Raw!E83,Data_Lookup_Ans!$C$14:$J$25,1,FALSE),VLOOKUP(Data_Set_Raw!E83,Data_Lookup_Ans!$D$14:$J$25,7,FALSE))</f>
        <v>SUPA-500</v>
      </c>
      <c r="G84" s="14" t="str">
        <f>IFERROR(VLOOKUP(TRIM(Data_Set_Raw!F83),Data_Lookup_Ans!$C$8:$D$10,2,FALSE),TRIM(Data_Set_Raw!F83))</f>
        <v>Direct</v>
      </c>
      <c r="H84" s="30">
        <v>42584</v>
      </c>
      <c r="I84" s="14">
        <f>VALUE(Data_Set_Raw!H83)</f>
        <v>168</v>
      </c>
      <c r="J84" s="14">
        <f>VLOOKUP(F84,Data_Lookup_Ans!$C$14:$J$25,5,FALSE)</f>
        <v>500</v>
      </c>
      <c r="K84" s="14" t="str">
        <f>VLOOKUP(F84,Data_Lookup_Ans!$C$14:$J$25,6,FALSE)</f>
        <v>ml</v>
      </c>
      <c r="L84" s="14">
        <f>Data_Set_Raw!I83</f>
        <v>14.5</v>
      </c>
      <c r="M84" s="31">
        <f t="shared" si="3"/>
        <v>2436</v>
      </c>
    </row>
    <row r="85" spans="2:13">
      <c r="B85" s="8">
        <f>VALUE(Data_Set_Raw!B84)</f>
        <v>23311</v>
      </c>
      <c r="C85" s="13" t="str">
        <f>Data_Set_Raw!C84</f>
        <v>forrest macdonald</v>
      </c>
      <c r="D85" s="13" t="str">
        <f t="shared" si="2"/>
        <v>Macdonald</v>
      </c>
      <c r="E85" s="14" t="str">
        <f>Data_Set_Raw!D84</f>
        <v>New Caledonia</v>
      </c>
      <c r="F85" s="14" t="str">
        <f>IFERROR(VLOOKUP(Data_Set_Raw!E84,Data_Lookup_Ans!$C$14:$J$25,1,FALSE),VLOOKUP(Data_Set_Raw!E84,Data_Lookup_Ans!$D$14:$J$25,7,FALSE))</f>
        <v>SUPA-1000</v>
      </c>
      <c r="G85" s="14" t="str">
        <f>IFERROR(VLOOKUP(TRIM(Data_Set_Raw!F84),Data_Lookup_Ans!$C$8:$D$10,2,FALSE),TRIM(Data_Set_Raw!F84))</f>
        <v>Retail</v>
      </c>
      <c r="H85" s="30">
        <v>42533</v>
      </c>
      <c r="I85" s="14">
        <f>VALUE(Data_Set_Raw!H84)</f>
        <v>18</v>
      </c>
      <c r="J85" s="14">
        <f>VLOOKUP(F85,Data_Lookup_Ans!$C$14:$J$25,5,FALSE)</f>
        <v>1000</v>
      </c>
      <c r="K85" s="14" t="str">
        <f>VLOOKUP(F85,Data_Lookup_Ans!$C$14:$J$25,6,FALSE)</f>
        <v>ml</v>
      </c>
      <c r="L85" s="14">
        <f>Data_Set_Raw!I84</f>
        <v>14.5</v>
      </c>
      <c r="M85" s="31">
        <f t="shared" si="3"/>
        <v>261</v>
      </c>
    </row>
    <row r="86" spans="2:13">
      <c r="B86" s="8">
        <f>VALUE(Data_Set_Raw!B85)</f>
        <v>23378</v>
      </c>
      <c r="C86" s="13" t="str">
        <f>Data_Set_Raw!C85</f>
        <v>brynne mcgowan</v>
      </c>
      <c r="D86" s="13" t="str">
        <f t="shared" si="2"/>
        <v>Mcgowan</v>
      </c>
      <c r="E86" s="14" t="str">
        <f>Data_Set_Raw!D85</f>
        <v>Finland</v>
      </c>
      <c r="F86" s="14" t="str">
        <f>IFERROR(VLOOKUP(Data_Set_Raw!E85,Data_Lookup_Ans!$C$14:$J$25,1,FALSE),VLOOKUP(Data_Set_Raw!E85,Data_Lookup_Ans!$D$14:$J$25,7,FALSE))</f>
        <v>PURA-250</v>
      </c>
      <c r="G86" s="14" t="str">
        <f>IFERROR(VLOOKUP(TRIM(Data_Set_Raw!F85),Data_Lookup_Ans!$C$8:$D$10,2,FALSE),TRIM(Data_Set_Raw!F85))</f>
        <v>Online</v>
      </c>
      <c r="H86" s="30">
        <v>42240</v>
      </c>
      <c r="I86" s="14">
        <f>VALUE(Data_Set_Raw!H85)</f>
        <v>157</v>
      </c>
      <c r="J86" s="14">
        <f>VLOOKUP(F86,Data_Lookup_Ans!$C$14:$J$25,5,FALSE)</f>
        <v>250</v>
      </c>
      <c r="K86" s="14" t="str">
        <f>VLOOKUP(F86,Data_Lookup_Ans!$C$14:$J$25,6,FALSE)</f>
        <v>ml</v>
      </c>
      <c r="L86" s="14">
        <f>Data_Set_Raw!I85</f>
        <v>14.5</v>
      </c>
      <c r="M86" s="31">
        <f t="shared" si="3"/>
        <v>2276.5</v>
      </c>
    </row>
    <row r="87" spans="2:13">
      <c r="B87" s="8">
        <f>VALUE(Data_Set_Raw!B86)</f>
        <v>23283</v>
      </c>
      <c r="C87" s="13" t="str">
        <f>Data_Set_Raw!C86</f>
        <v>lani sweet</v>
      </c>
      <c r="D87" s="13" t="str">
        <f t="shared" si="2"/>
        <v>Sweet</v>
      </c>
      <c r="E87" s="14" t="str">
        <f>Data_Set_Raw!D86</f>
        <v>Vanuatu</v>
      </c>
      <c r="F87" s="14" t="str">
        <f>IFERROR(VLOOKUP(Data_Set_Raw!E86,Data_Lookup_Ans!$C$14:$J$25,1,FALSE),VLOOKUP(Data_Set_Raw!E86,Data_Lookup_Ans!$D$14:$J$25,7,FALSE))</f>
        <v>DETA-800</v>
      </c>
      <c r="G87" s="14" t="str">
        <f>IFERROR(VLOOKUP(TRIM(Data_Set_Raw!F86),Data_Lookup_Ans!$C$8:$D$10,2,FALSE),TRIM(Data_Set_Raw!F86))</f>
        <v>Online</v>
      </c>
      <c r="H87" s="30">
        <v>42552</v>
      </c>
      <c r="I87" s="14">
        <f>VALUE(Data_Set_Raw!H86)</f>
        <v>142</v>
      </c>
      <c r="J87" s="14">
        <f>VLOOKUP(F87,Data_Lookup_Ans!$C$14:$J$25,5,FALSE)</f>
        <v>800</v>
      </c>
      <c r="K87" s="14" t="str">
        <f>VLOOKUP(F87,Data_Lookup_Ans!$C$14:$J$25,6,FALSE)</f>
        <v>ml</v>
      </c>
      <c r="L87" s="14">
        <f>Data_Set_Raw!I86</f>
        <v>14.5</v>
      </c>
      <c r="M87" s="31">
        <f t="shared" si="3"/>
        <v>2059</v>
      </c>
    </row>
    <row r="88" spans="2:13">
      <c r="B88" s="8">
        <f>VALUE(Data_Set_Raw!B87)</f>
        <v>23292</v>
      </c>
      <c r="C88" s="13" t="str">
        <f>Data_Set_Raw!C87</f>
        <v>liberty mcbride</v>
      </c>
      <c r="D88" s="13" t="str">
        <f t="shared" si="2"/>
        <v>Mcbride</v>
      </c>
      <c r="E88" s="14" t="str">
        <f>Data_Set_Raw!D87</f>
        <v>Fiji</v>
      </c>
      <c r="F88" s="14" t="str">
        <f>IFERROR(VLOOKUP(Data_Set_Raw!E87,Data_Lookup_Ans!$C$14:$J$25,1,FALSE),VLOOKUP(Data_Set_Raw!E87,Data_Lookup_Ans!$D$14:$J$25,7,FALSE))</f>
        <v>SUPA-1000</v>
      </c>
      <c r="G88" s="14" t="str">
        <f>IFERROR(VLOOKUP(TRIM(Data_Set_Raw!F87),Data_Lookup_Ans!$C$8:$D$10,2,FALSE),TRIM(Data_Set_Raw!F87))</f>
        <v>Online</v>
      </c>
      <c r="H88" s="30">
        <v>41881</v>
      </c>
      <c r="I88" s="14">
        <f>VALUE(Data_Set_Raw!H87)</f>
        <v>73</v>
      </c>
      <c r="J88" s="14">
        <f>VLOOKUP(F88,Data_Lookup_Ans!$C$14:$J$25,5,FALSE)</f>
        <v>1000</v>
      </c>
      <c r="K88" s="14" t="str">
        <f>VLOOKUP(F88,Data_Lookup_Ans!$C$14:$J$25,6,FALSE)</f>
        <v>ml</v>
      </c>
      <c r="L88" s="14">
        <f>Data_Set_Raw!I87</f>
        <v>14.5</v>
      </c>
      <c r="M88" s="31">
        <f t="shared" si="3"/>
        <v>1058.5</v>
      </c>
    </row>
    <row r="89" spans="2:13">
      <c r="B89" s="8">
        <f>VALUE(Data_Set_Raw!B88)</f>
        <v>23328</v>
      </c>
      <c r="C89" s="13" t="str">
        <f>Data_Set_Raw!C88</f>
        <v>keaton wolfe</v>
      </c>
      <c r="D89" s="13" t="str">
        <f t="shared" si="2"/>
        <v>Wolfe</v>
      </c>
      <c r="E89" s="14" t="str">
        <f>Data_Set_Raw!D88</f>
        <v>French Southern Territories</v>
      </c>
      <c r="F89" s="14" t="str">
        <f>IFERROR(VLOOKUP(Data_Set_Raw!E88,Data_Lookup_Ans!$C$14:$J$25,1,FALSE),VLOOKUP(Data_Set_Raw!E88,Data_Lookup_Ans!$D$14:$J$25,7,FALSE))</f>
        <v>PURA-200</v>
      </c>
      <c r="G89" s="14" t="str">
        <f>IFERROR(VLOOKUP(TRIM(Data_Set_Raw!F88),Data_Lookup_Ans!$C$8:$D$10,2,FALSE),TRIM(Data_Set_Raw!F88))</f>
        <v>Retail</v>
      </c>
      <c r="H89" s="30">
        <v>41791</v>
      </c>
      <c r="I89" s="14">
        <f>VALUE(Data_Set_Raw!H88)</f>
        <v>102</v>
      </c>
      <c r="J89" s="14">
        <f>VLOOKUP(F89,Data_Lookup_Ans!$C$14:$J$25,5,FALSE)</f>
        <v>200</v>
      </c>
      <c r="K89" s="14" t="str">
        <f>VLOOKUP(F89,Data_Lookup_Ans!$C$14:$J$25,6,FALSE)</f>
        <v>ml</v>
      </c>
      <c r="L89" s="14">
        <f>Data_Set_Raw!I88</f>
        <v>14.5</v>
      </c>
      <c r="M89" s="31">
        <f t="shared" si="3"/>
        <v>1479</v>
      </c>
    </row>
    <row r="90" spans="2:13">
      <c r="B90" s="8">
        <f>VALUE(Data_Set_Raw!B89)</f>
        <v>23289</v>
      </c>
      <c r="C90" s="13" t="str">
        <f>Data_Set_Raw!C89</f>
        <v>deacon craig</v>
      </c>
      <c r="D90" s="13" t="str">
        <f t="shared" si="2"/>
        <v>Craig</v>
      </c>
      <c r="E90" s="14" t="str">
        <f>Data_Set_Raw!D89</f>
        <v>Mongolia</v>
      </c>
      <c r="F90" s="14" t="str">
        <f>IFERROR(VLOOKUP(Data_Set_Raw!E89,Data_Lookup_Ans!$C$14:$J$25,1,FALSE),VLOOKUP(Data_Set_Raw!E89,Data_Lookup_Ans!$D$14:$J$25,7,FALSE))</f>
        <v>DETA-800</v>
      </c>
      <c r="G90" s="14" t="str">
        <f>IFERROR(VLOOKUP(TRIM(Data_Set_Raw!F89),Data_Lookup_Ans!$C$8:$D$10,2,FALSE),TRIM(Data_Set_Raw!F89))</f>
        <v>Retail</v>
      </c>
      <c r="H90" s="30">
        <v>41853</v>
      </c>
      <c r="I90" s="14">
        <f>VALUE(Data_Set_Raw!H89)</f>
        <v>166</v>
      </c>
      <c r="J90" s="14">
        <f>VLOOKUP(F90,Data_Lookup_Ans!$C$14:$J$25,5,FALSE)</f>
        <v>800</v>
      </c>
      <c r="K90" s="14" t="str">
        <f>VLOOKUP(F90,Data_Lookup_Ans!$C$14:$J$25,6,FALSE)</f>
        <v>ml</v>
      </c>
      <c r="L90" s="14">
        <f>Data_Set_Raw!I89</f>
        <v>14.5</v>
      </c>
      <c r="M90" s="31">
        <f t="shared" si="3"/>
        <v>2407</v>
      </c>
    </row>
    <row r="91" spans="2:13">
      <c r="B91" s="8">
        <f>VALUE(Data_Set_Raw!B90)</f>
        <v>23303</v>
      </c>
      <c r="C91" s="13" t="str">
        <f>Data_Set_Raw!C90</f>
        <v>guinevere key</v>
      </c>
      <c r="D91" s="13" t="str">
        <f t="shared" si="2"/>
        <v>Key</v>
      </c>
      <c r="E91" s="14" t="str">
        <f>Data_Set_Raw!D90</f>
        <v>Colombia</v>
      </c>
      <c r="F91" s="14" t="str">
        <f>IFERROR(VLOOKUP(Data_Set_Raw!E90,Data_Lookup_Ans!$C$14:$J$25,1,FALSE),VLOOKUP(Data_Set_Raw!E90,Data_Lookup_Ans!$D$14:$J$25,7,FALSE))</f>
        <v>DETA-800</v>
      </c>
      <c r="G91" s="14" t="str">
        <f>IFERROR(VLOOKUP(TRIM(Data_Set_Raw!F90),Data_Lookup_Ans!$C$8:$D$10,2,FALSE),TRIM(Data_Set_Raw!F90))</f>
        <v>Retail</v>
      </c>
      <c r="H91" s="30">
        <v>41831</v>
      </c>
      <c r="I91" s="14">
        <f>VALUE(Data_Set_Raw!H90)</f>
        <v>176</v>
      </c>
      <c r="J91" s="14">
        <f>VLOOKUP(F91,Data_Lookup_Ans!$C$14:$J$25,5,FALSE)</f>
        <v>800</v>
      </c>
      <c r="K91" s="14" t="str">
        <f>VLOOKUP(F91,Data_Lookup_Ans!$C$14:$J$25,6,FALSE)</f>
        <v>ml</v>
      </c>
      <c r="L91" s="14">
        <f>Data_Set_Raw!I90</f>
        <v>14.5</v>
      </c>
      <c r="M91" s="31">
        <f t="shared" si="3"/>
        <v>2552</v>
      </c>
    </row>
    <row r="92" spans="2:13">
      <c r="B92" s="8">
        <f>VALUE(Data_Set_Raw!B91)</f>
        <v>23336</v>
      </c>
      <c r="C92" s="13" t="str">
        <f>Data_Set_Raw!C91</f>
        <v>petra mckenzie</v>
      </c>
      <c r="D92" s="13" t="str">
        <f t="shared" si="2"/>
        <v>Mckenzie</v>
      </c>
      <c r="E92" s="14" t="str">
        <f>Data_Set_Raw!D91</f>
        <v>Morocco</v>
      </c>
      <c r="F92" s="14" t="str">
        <f>IFERROR(VLOOKUP(Data_Set_Raw!E91,Data_Lookup_Ans!$C$14:$J$25,1,FALSE),VLOOKUP(Data_Set_Raw!E91,Data_Lookup_Ans!$D$14:$J$25,7,FALSE))</f>
        <v>PURA-250</v>
      </c>
      <c r="G92" s="14" t="str">
        <f>IFERROR(VLOOKUP(TRIM(Data_Set_Raw!F91),Data_Lookup_Ans!$C$8:$D$10,2,FALSE),TRIM(Data_Set_Raw!F91))</f>
        <v>Retail</v>
      </c>
      <c r="H92" s="30">
        <v>42245</v>
      </c>
      <c r="I92" s="14">
        <f>VALUE(Data_Set_Raw!H91)</f>
        <v>7</v>
      </c>
      <c r="J92" s="14">
        <f>VLOOKUP(F92,Data_Lookup_Ans!$C$14:$J$25,5,FALSE)</f>
        <v>250</v>
      </c>
      <c r="K92" s="14" t="str">
        <f>VLOOKUP(F92,Data_Lookup_Ans!$C$14:$J$25,6,FALSE)</f>
        <v>ml</v>
      </c>
      <c r="L92" s="14">
        <f>Data_Set_Raw!I91</f>
        <v>4.5</v>
      </c>
      <c r="M92" s="31">
        <f t="shared" si="3"/>
        <v>31.5</v>
      </c>
    </row>
    <row r="93" spans="2:13">
      <c r="B93" s="8">
        <f>VALUE(Data_Set_Raw!B92)</f>
        <v>23280</v>
      </c>
      <c r="C93" s="13" t="str">
        <f>Data_Set_Raw!C92</f>
        <v>james spencer</v>
      </c>
      <c r="D93" s="13" t="str">
        <f t="shared" si="2"/>
        <v>Spencer</v>
      </c>
      <c r="E93" s="14" t="str">
        <f>Data_Set_Raw!D92</f>
        <v>Burkina Faso</v>
      </c>
      <c r="F93" s="14" t="str">
        <f>IFERROR(VLOOKUP(Data_Set_Raw!E92,Data_Lookup_Ans!$C$14:$J$25,1,FALSE),VLOOKUP(Data_Set_Raw!E92,Data_Lookup_Ans!$D$14:$J$25,7,FALSE))</f>
        <v>PURA-500</v>
      </c>
      <c r="G93" s="14" t="str">
        <f>IFERROR(VLOOKUP(TRIM(Data_Set_Raw!F92),Data_Lookup_Ans!$C$8:$D$10,2,FALSE),TRIM(Data_Set_Raw!F92))</f>
        <v>Online</v>
      </c>
      <c r="H93" s="30">
        <v>41810</v>
      </c>
      <c r="I93" s="14">
        <f>VALUE(Data_Set_Raw!H92)</f>
        <v>30</v>
      </c>
      <c r="J93" s="14">
        <f>VLOOKUP(F93,Data_Lookup_Ans!$C$14:$J$25,5,FALSE)</f>
        <v>500</v>
      </c>
      <c r="K93" s="14" t="str">
        <f>VLOOKUP(F93,Data_Lookup_Ans!$C$14:$J$25,6,FALSE)</f>
        <v>ml</v>
      </c>
      <c r="L93" s="14">
        <f>Data_Set_Raw!I92</f>
        <v>6.99</v>
      </c>
      <c r="M93" s="31">
        <f t="shared" si="3"/>
        <v>209.70000000000002</v>
      </c>
    </row>
    <row r="94" spans="2:13">
      <c r="B94" s="8">
        <f>VALUE(Data_Set_Raw!B93)</f>
        <v>23270</v>
      </c>
      <c r="C94" s="13" t="str">
        <f>Data_Set_Raw!C93</f>
        <v>wanda garza</v>
      </c>
      <c r="D94" s="13" t="str">
        <f t="shared" si="2"/>
        <v>Garza</v>
      </c>
      <c r="E94" s="14" t="str">
        <f>Data_Set_Raw!D93</f>
        <v>Kyrgyzstan</v>
      </c>
      <c r="F94" s="14" t="str">
        <f>IFERROR(VLOOKUP(Data_Set_Raw!E93,Data_Lookup_Ans!$C$14:$J$25,1,FALSE),VLOOKUP(Data_Set_Raw!E93,Data_Lookup_Ans!$D$14:$J$25,7,FALSE))</f>
        <v>SUPA-1000</v>
      </c>
      <c r="G94" s="14" t="str">
        <f>IFERROR(VLOOKUP(TRIM(Data_Set_Raw!F93),Data_Lookup_Ans!$C$8:$D$10,2,FALSE),TRIM(Data_Set_Raw!F93))</f>
        <v>Retail</v>
      </c>
      <c r="H94" s="30">
        <v>42211</v>
      </c>
      <c r="I94" s="14">
        <f>VALUE(Data_Set_Raw!H93)</f>
        <v>67</v>
      </c>
      <c r="J94" s="14">
        <f>VLOOKUP(F94,Data_Lookup_Ans!$C$14:$J$25,5,FALSE)</f>
        <v>1000</v>
      </c>
      <c r="K94" s="14" t="str">
        <f>VLOOKUP(F94,Data_Lookup_Ans!$C$14:$J$25,6,FALSE)</f>
        <v>ml</v>
      </c>
      <c r="L94" s="14">
        <f>Data_Set_Raw!I93</f>
        <v>6.99</v>
      </c>
      <c r="M94" s="31">
        <f t="shared" si="3"/>
        <v>468.33000000000004</v>
      </c>
    </row>
    <row r="95" spans="2:13">
      <c r="B95" s="8">
        <f>VALUE(Data_Set_Raw!B94)</f>
        <v>23360</v>
      </c>
      <c r="C95" s="13" t="str">
        <f>Data_Set_Raw!C94</f>
        <v>barrett mckinney</v>
      </c>
      <c r="D95" s="13" t="str">
        <f t="shared" si="2"/>
        <v>Mckinney</v>
      </c>
      <c r="E95" s="14" t="str">
        <f>Data_Set_Raw!D94</f>
        <v>Syria</v>
      </c>
      <c r="F95" s="14" t="str">
        <f>IFERROR(VLOOKUP(Data_Set_Raw!E94,Data_Lookup_Ans!$C$14:$J$25,1,FALSE),VLOOKUP(Data_Set_Raw!E94,Data_Lookup_Ans!$D$14:$J$25,7,FALSE))</f>
        <v>SUPA-1000</v>
      </c>
      <c r="G95" s="14" t="str">
        <f>IFERROR(VLOOKUP(TRIM(Data_Set_Raw!F94),Data_Lookup_Ans!$C$8:$D$10,2,FALSE),TRIM(Data_Set_Raw!F94))</f>
        <v>Online</v>
      </c>
      <c r="H95" s="30">
        <v>42530</v>
      </c>
      <c r="I95" s="14">
        <f>VALUE(Data_Set_Raw!H94)</f>
        <v>37</v>
      </c>
      <c r="J95" s="14">
        <f>VLOOKUP(F95,Data_Lookup_Ans!$C$14:$J$25,5,FALSE)</f>
        <v>1000</v>
      </c>
      <c r="K95" s="14" t="str">
        <f>VLOOKUP(F95,Data_Lookup_Ans!$C$14:$J$25,6,FALSE)</f>
        <v>ml</v>
      </c>
      <c r="L95" s="14">
        <f>Data_Set_Raw!I94</f>
        <v>6.99</v>
      </c>
      <c r="M95" s="31">
        <f t="shared" si="3"/>
        <v>258.63</v>
      </c>
    </row>
    <row r="96" spans="2:13">
      <c r="B96" s="8">
        <f>VALUE(Data_Set_Raw!B95)</f>
        <v>23375</v>
      </c>
      <c r="C96" s="13" t="str">
        <f>Data_Set_Raw!C95</f>
        <v>brittany burris</v>
      </c>
      <c r="D96" s="13" t="str">
        <f t="shared" si="2"/>
        <v>Burris</v>
      </c>
      <c r="E96" s="14" t="str">
        <f>Data_Set_Raw!D95</f>
        <v>Palau</v>
      </c>
      <c r="F96" s="14" t="str">
        <f>IFERROR(VLOOKUP(Data_Set_Raw!E95,Data_Lookup_Ans!$C$14:$J$25,1,FALSE),VLOOKUP(Data_Set_Raw!E95,Data_Lookup_Ans!$D$14:$J$25,7,FALSE))</f>
        <v>DETA-800</v>
      </c>
      <c r="G96" s="14" t="str">
        <f>IFERROR(VLOOKUP(TRIM(Data_Set_Raw!F95),Data_Lookup_Ans!$C$8:$D$10,2,FALSE),TRIM(Data_Set_Raw!F95))</f>
        <v>Retail</v>
      </c>
      <c r="H96" s="30">
        <v>42174</v>
      </c>
      <c r="I96" s="14">
        <f>VALUE(Data_Set_Raw!H95)</f>
        <v>5</v>
      </c>
      <c r="J96" s="14">
        <f>VLOOKUP(F96,Data_Lookup_Ans!$C$14:$J$25,5,FALSE)</f>
        <v>800</v>
      </c>
      <c r="K96" s="14" t="str">
        <f>VLOOKUP(F96,Data_Lookup_Ans!$C$14:$J$25,6,FALSE)</f>
        <v>ml</v>
      </c>
      <c r="L96" s="14">
        <f>Data_Set_Raw!I95</f>
        <v>6.99</v>
      </c>
      <c r="M96" s="31">
        <f t="shared" si="3"/>
        <v>34.950000000000003</v>
      </c>
    </row>
    <row r="97" spans="2:13">
      <c r="B97" s="8">
        <f>VALUE(Data_Set_Raw!B96)</f>
        <v>23337</v>
      </c>
      <c r="C97" s="13" t="str">
        <f>Data_Set_Raw!C96</f>
        <v>bell prince</v>
      </c>
      <c r="D97" s="13" t="str">
        <f t="shared" si="2"/>
        <v>Prince</v>
      </c>
      <c r="E97" s="14" t="str">
        <f>Data_Set_Raw!D96</f>
        <v>Guinea</v>
      </c>
      <c r="F97" s="14" t="str">
        <f>IFERROR(VLOOKUP(Data_Set_Raw!E96,Data_Lookup_Ans!$C$14:$J$25,1,FALSE),VLOOKUP(Data_Set_Raw!E96,Data_Lookup_Ans!$D$14:$J$25,7,FALSE))</f>
        <v>PURA-200</v>
      </c>
      <c r="G97" s="14" t="str">
        <f>IFERROR(VLOOKUP(TRIM(Data_Set_Raw!F96),Data_Lookup_Ans!$C$8:$D$10,2,FALSE),TRIM(Data_Set_Raw!F96))</f>
        <v>Retail</v>
      </c>
      <c r="H97" s="30">
        <v>42596</v>
      </c>
      <c r="I97" s="14">
        <f>VALUE(Data_Set_Raw!H96)</f>
        <v>82</v>
      </c>
      <c r="J97" s="14">
        <f>VLOOKUP(F97,Data_Lookup_Ans!$C$14:$J$25,5,FALSE)</f>
        <v>200</v>
      </c>
      <c r="K97" s="14" t="str">
        <f>VLOOKUP(F97,Data_Lookup_Ans!$C$14:$J$25,6,FALSE)</f>
        <v>ml</v>
      </c>
      <c r="L97" s="14">
        <f>Data_Set_Raw!I96</f>
        <v>6.99</v>
      </c>
      <c r="M97" s="31">
        <f t="shared" si="3"/>
        <v>573.18000000000006</v>
      </c>
    </row>
    <row r="98" spans="2:13">
      <c r="B98" s="8">
        <f>VALUE(Data_Set_Raw!B97)</f>
        <v>23301</v>
      </c>
      <c r="C98" s="13" t="str">
        <f>Data_Set_Raw!C97</f>
        <v>maxwell parker</v>
      </c>
      <c r="D98" s="13" t="str">
        <f t="shared" si="2"/>
        <v>Parker</v>
      </c>
      <c r="E98" s="14" t="str">
        <f>Data_Set_Raw!D97</f>
        <v>Falkland Islands (Malvinas)</v>
      </c>
      <c r="F98" s="14" t="str">
        <f>IFERROR(VLOOKUP(Data_Set_Raw!E97,Data_Lookup_Ans!$C$14:$J$25,1,FALSE),VLOOKUP(Data_Set_Raw!E97,Data_Lookup_Ans!$D$14:$J$25,7,FALSE))</f>
        <v>SUPA-500</v>
      </c>
      <c r="G98" s="14" t="str">
        <f>IFERROR(VLOOKUP(TRIM(Data_Set_Raw!F97),Data_Lookup_Ans!$C$8:$D$10,2,FALSE),TRIM(Data_Set_Raw!F97))</f>
        <v>Retail</v>
      </c>
      <c r="H98" s="30">
        <v>42205</v>
      </c>
      <c r="I98" s="14">
        <f>VALUE(Data_Set_Raw!H97)</f>
        <v>108</v>
      </c>
      <c r="J98" s="14">
        <f>VLOOKUP(F98,Data_Lookup_Ans!$C$14:$J$25,5,FALSE)</f>
        <v>500</v>
      </c>
      <c r="K98" s="14" t="str">
        <f>VLOOKUP(F98,Data_Lookup_Ans!$C$14:$J$25,6,FALSE)</f>
        <v>ml</v>
      </c>
      <c r="L98" s="14">
        <f>Data_Set_Raw!I97</f>
        <v>6.99</v>
      </c>
      <c r="M98" s="31">
        <f t="shared" si="3"/>
        <v>754.92000000000007</v>
      </c>
    </row>
    <row r="99" spans="2:13">
      <c r="B99" s="8">
        <f>VALUE(Data_Set_Raw!B98)</f>
        <v>23271</v>
      </c>
      <c r="C99" s="13" t="str">
        <f>Data_Set_Raw!C98</f>
        <v>athena fitzpatrick</v>
      </c>
      <c r="D99" s="13" t="str">
        <f t="shared" si="2"/>
        <v>Fitzpatrick</v>
      </c>
      <c r="E99" s="14" t="str">
        <f>Data_Set_Raw!D98</f>
        <v>REU</v>
      </c>
      <c r="F99" s="14" t="str">
        <f>IFERROR(VLOOKUP(Data_Set_Raw!E98,Data_Lookup_Ans!$C$14:$J$25,1,FALSE),VLOOKUP(Data_Set_Raw!E98,Data_Lookup_Ans!$D$14:$J$25,7,FALSE))</f>
        <v>SUPA-2000</v>
      </c>
      <c r="G99" s="14" t="str">
        <f>IFERROR(VLOOKUP(TRIM(Data_Set_Raw!F98),Data_Lookup_Ans!$C$8:$D$10,2,FALSE),TRIM(Data_Set_Raw!F98))</f>
        <v>Retail</v>
      </c>
      <c r="H99" s="30">
        <v>41854</v>
      </c>
      <c r="I99" s="14">
        <f>VALUE(Data_Set_Raw!H98)</f>
        <v>125</v>
      </c>
      <c r="J99" s="14">
        <f>VLOOKUP(F99,Data_Lookup_Ans!$C$14:$J$25,5,FALSE)</f>
        <v>2000</v>
      </c>
      <c r="K99" s="14" t="str">
        <f>VLOOKUP(F99,Data_Lookup_Ans!$C$14:$J$25,6,FALSE)</f>
        <v>ml</v>
      </c>
      <c r="L99" s="14">
        <f>Data_Set_Raw!I98</f>
        <v>6.99</v>
      </c>
      <c r="M99" s="31">
        <f t="shared" si="3"/>
        <v>873.75</v>
      </c>
    </row>
    <row r="100" spans="2:13">
      <c r="B100" s="8">
        <f>VALUE(Data_Set_Raw!B99)</f>
        <v>23354</v>
      </c>
      <c r="C100" s="13" t="str">
        <f>Data_Set_Raw!C99</f>
        <v>gwendolyn mccarty</v>
      </c>
      <c r="D100" s="13" t="str">
        <f t="shared" si="2"/>
        <v>Mccarty</v>
      </c>
      <c r="E100" s="14" t="str">
        <f>Data_Set_Raw!D99</f>
        <v>Madagascar</v>
      </c>
      <c r="F100" s="14" t="str">
        <f>IFERROR(VLOOKUP(Data_Set_Raw!E99,Data_Lookup_Ans!$C$14:$J$25,1,FALSE),VLOOKUP(Data_Set_Raw!E99,Data_Lookup_Ans!$D$14:$J$25,7,FALSE))</f>
        <v>PURA-100</v>
      </c>
      <c r="G100" s="14" t="str">
        <f>IFERROR(VLOOKUP(TRIM(Data_Set_Raw!F99),Data_Lookup_Ans!$C$8:$D$10,2,FALSE),TRIM(Data_Set_Raw!F99))</f>
        <v>Online</v>
      </c>
      <c r="H100" s="30">
        <v>42557</v>
      </c>
      <c r="I100" s="14">
        <f>VALUE(Data_Set_Raw!H99)</f>
        <v>84</v>
      </c>
      <c r="J100" s="14">
        <f>VLOOKUP(F100,Data_Lookup_Ans!$C$14:$J$25,5,FALSE)</f>
        <v>100</v>
      </c>
      <c r="K100" s="14" t="str">
        <f>VLOOKUP(F100,Data_Lookup_Ans!$C$14:$J$25,6,FALSE)</f>
        <v>ml</v>
      </c>
      <c r="L100" s="14">
        <f>Data_Set_Raw!I99</f>
        <v>6.99</v>
      </c>
      <c r="M100" s="31">
        <f t="shared" si="3"/>
        <v>587.16</v>
      </c>
    </row>
    <row r="101" spans="2:13">
      <c r="B101" s="8">
        <f>VALUE(Data_Set_Raw!B100)</f>
        <v>23340</v>
      </c>
      <c r="C101" s="13" t="str">
        <f>Data_Set_Raw!C100</f>
        <v>lael gould</v>
      </c>
      <c r="D101" s="13" t="str">
        <f t="shared" si="2"/>
        <v>Gould</v>
      </c>
      <c r="E101" s="14" t="str">
        <f>Data_Set_Raw!D100</f>
        <v>El Salvador</v>
      </c>
      <c r="F101" s="14" t="str">
        <f>IFERROR(VLOOKUP(Data_Set_Raw!E100,Data_Lookup_Ans!$C$14:$J$25,1,FALSE),VLOOKUP(Data_Set_Raw!E100,Data_Lookup_Ans!$D$14:$J$25,7,FALSE))</f>
        <v>DETA-800</v>
      </c>
      <c r="G101" s="14" t="str">
        <f>IFERROR(VLOOKUP(TRIM(Data_Set_Raw!F100),Data_Lookup_Ans!$C$8:$D$10,2,FALSE),TRIM(Data_Set_Raw!F100))</f>
        <v>Online</v>
      </c>
      <c r="H101" s="30">
        <v>42581</v>
      </c>
      <c r="I101" s="14">
        <f>VALUE(Data_Set_Raw!H100)</f>
        <v>85</v>
      </c>
      <c r="J101" s="14">
        <f>VLOOKUP(F101,Data_Lookup_Ans!$C$14:$J$25,5,FALSE)</f>
        <v>800</v>
      </c>
      <c r="K101" s="14" t="str">
        <f>VLOOKUP(F101,Data_Lookup_Ans!$C$14:$J$25,6,FALSE)</f>
        <v>ml</v>
      </c>
      <c r="L101" s="14">
        <f>Data_Set_Raw!I100</f>
        <v>4.5</v>
      </c>
      <c r="M101" s="31">
        <f t="shared" si="3"/>
        <v>382.5</v>
      </c>
    </row>
    <row r="102" spans="2:13">
      <c r="B102" s="8">
        <f>VALUE(Data_Set_Raw!B101)</f>
        <v>23365</v>
      </c>
      <c r="C102" s="13" t="str">
        <f>Data_Set_Raw!C101</f>
        <v>gwendolyn walton</v>
      </c>
      <c r="D102" s="13" t="str">
        <f t="shared" si="2"/>
        <v>Walton</v>
      </c>
      <c r="E102" s="14" t="str">
        <f>Data_Set_Raw!D101</f>
        <v>Cuba</v>
      </c>
      <c r="F102" s="14" t="str">
        <f>IFERROR(VLOOKUP(Data_Set_Raw!E101,Data_Lookup_Ans!$C$14:$J$25,1,FALSE),VLOOKUP(Data_Set_Raw!E101,Data_Lookup_Ans!$D$14:$J$25,7,FALSE))</f>
        <v>DETA-800</v>
      </c>
      <c r="G102" s="14" t="str">
        <f>IFERROR(VLOOKUP(TRIM(Data_Set_Raw!F101),Data_Lookup_Ans!$C$8:$D$10,2,FALSE),TRIM(Data_Set_Raw!F101))</f>
        <v>Retail</v>
      </c>
      <c r="H102" s="30">
        <v>42227</v>
      </c>
      <c r="I102" s="14">
        <f>VALUE(Data_Set_Raw!H101)</f>
        <v>165</v>
      </c>
      <c r="J102" s="14">
        <f>VLOOKUP(F102,Data_Lookup_Ans!$C$14:$J$25,5,FALSE)</f>
        <v>800</v>
      </c>
      <c r="K102" s="14" t="str">
        <f>VLOOKUP(F102,Data_Lookup_Ans!$C$14:$J$25,6,FALSE)</f>
        <v>ml</v>
      </c>
      <c r="L102" s="14">
        <f>Data_Set_Raw!I101</f>
        <v>4.5</v>
      </c>
      <c r="M102" s="31">
        <f t="shared" si="3"/>
        <v>742.5</v>
      </c>
    </row>
    <row r="103" spans="2:13">
      <c r="B103" s="8">
        <f>VALUE(Data_Set_Raw!B102)</f>
        <v>23281</v>
      </c>
      <c r="C103" s="13" t="str">
        <f>Data_Set_Raw!C102</f>
        <v>adria kaufman</v>
      </c>
      <c r="D103" s="13" t="str">
        <f t="shared" si="2"/>
        <v>Kaufman</v>
      </c>
      <c r="E103" s="14" t="str">
        <f>Data_Set_Raw!D102</f>
        <v>Bouvet Island</v>
      </c>
      <c r="F103" s="14" t="str">
        <f>IFERROR(VLOOKUP(Data_Set_Raw!E102,Data_Lookup_Ans!$C$14:$J$25,1,FALSE),VLOOKUP(Data_Set_Raw!E102,Data_Lookup_Ans!$D$14:$J$25,7,FALSE))</f>
        <v>PURA-100</v>
      </c>
      <c r="G103" s="14" t="str">
        <f>IFERROR(VLOOKUP(TRIM(Data_Set_Raw!F102),Data_Lookup_Ans!$C$8:$D$10,2,FALSE),TRIM(Data_Set_Raw!F102))</f>
        <v>Retail</v>
      </c>
      <c r="H103" s="30">
        <v>41802</v>
      </c>
      <c r="I103" s="14">
        <f>VALUE(Data_Set_Raw!H102)</f>
        <v>134</v>
      </c>
      <c r="J103" s="14">
        <f>VLOOKUP(F103,Data_Lookup_Ans!$C$14:$J$25,5,FALSE)</f>
        <v>100</v>
      </c>
      <c r="K103" s="14" t="str">
        <f>VLOOKUP(F103,Data_Lookup_Ans!$C$14:$J$25,6,FALSE)</f>
        <v>ml</v>
      </c>
      <c r="L103" s="14">
        <f>Data_Set_Raw!I102</f>
        <v>4.5</v>
      </c>
      <c r="M103" s="31">
        <f t="shared" si="3"/>
        <v>603</v>
      </c>
    </row>
    <row r="104" spans="2:13">
      <c r="B104" s="8">
        <f>VALUE(Data_Set_Raw!B103)</f>
        <v>23285</v>
      </c>
      <c r="C104" s="13" t="str">
        <f>Data_Set_Raw!C103</f>
        <v>leonard cardenas</v>
      </c>
      <c r="D104" s="13" t="str">
        <f t="shared" si="2"/>
        <v>Cardenas</v>
      </c>
      <c r="E104" s="14" t="str">
        <f>Data_Set_Raw!D103</f>
        <v>Madagascar</v>
      </c>
      <c r="F104" s="14" t="str">
        <f>IFERROR(VLOOKUP(Data_Set_Raw!E103,Data_Lookup_Ans!$C$14:$J$25,1,FALSE),VLOOKUP(Data_Set_Raw!E103,Data_Lookup_Ans!$D$14:$J$25,7,FALSE))</f>
        <v>DETA-100</v>
      </c>
      <c r="G104" s="14" t="str">
        <f>IFERROR(VLOOKUP(TRIM(Data_Set_Raw!F103),Data_Lookup_Ans!$C$8:$D$10,2,FALSE),TRIM(Data_Set_Raw!F103))</f>
        <v>Retail</v>
      </c>
      <c r="H104" s="30">
        <v>41866</v>
      </c>
      <c r="I104" s="14">
        <f>VALUE(Data_Set_Raw!H103)</f>
        <v>9</v>
      </c>
      <c r="J104" s="14">
        <f>VLOOKUP(F104,Data_Lookup_Ans!$C$14:$J$25,5,FALSE)</f>
        <v>100</v>
      </c>
      <c r="K104" s="14" t="str">
        <f>VLOOKUP(F104,Data_Lookup_Ans!$C$14:$J$25,6,FALSE)</f>
        <v>ml</v>
      </c>
      <c r="L104" s="14">
        <f>Data_Set_Raw!I103</f>
        <v>4.5</v>
      </c>
      <c r="M104" s="31">
        <f t="shared" si="3"/>
        <v>40.5</v>
      </c>
    </row>
    <row r="105" spans="2:13">
      <c r="B105" s="8">
        <f>VALUE(Data_Set_Raw!B104)</f>
        <v>23326</v>
      </c>
      <c r="C105" s="13" t="str">
        <f>Data_Set_Raw!C104</f>
        <v>katelyn joseph</v>
      </c>
      <c r="D105" s="13" t="str">
        <f t="shared" si="2"/>
        <v>Joseph</v>
      </c>
      <c r="E105" s="14" t="str">
        <f>Data_Set_Raw!D104</f>
        <v>Slovenia</v>
      </c>
      <c r="F105" s="14" t="str">
        <f>IFERROR(VLOOKUP(Data_Set_Raw!E104,Data_Lookup_Ans!$C$14:$J$25,1,FALSE),VLOOKUP(Data_Set_Raw!E104,Data_Lookup_Ans!$D$14:$J$25,7,FALSE))</f>
        <v>SUPA-250</v>
      </c>
      <c r="G105" s="14" t="str">
        <f>IFERROR(VLOOKUP(TRIM(Data_Set_Raw!F104),Data_Lookup_Ans!$C$8:$D$10,2,FALSE),TRIM(Data_Set_Raw!F104))</f>
        <v>Retail</v>
      </c>
      <c r="H105" s="30">
        <v>41858</v>
      </c>
      <c r="I105" s="14">
        <f>VALUE(Data_Set_Raw!H104)</f>
        <v>126</v>
      </c>
      <c r="J105" s="14">
        <f>VLOOKUP(F105,Data_Lookup_Ans!$C$14:$J$25,5,FALSE)</f>
        <v>250</v>
      </c>
      <c r="K105" s="14" t="str">
        <f>VLOOKUP(F105,Data_Lookup_Ans!$C$14:$J$25,6,FALSE)</f>
        <v>ml</v>
      </c>
      <c r="L105" s="14">
        <f>Data_Set_Raw!I104</f>
        <v>4.5</v>
      </c>
      <c r="M105" s="31">
        <f t="shared" si="3"/>
        <v>567</v>
      </c>
    </row>
    <row r="106" spans="2:13">
      <c r="B106" s="8">
        <f>VALUE(Data_Set_Raw!B105)</f>
        <v>23361</v>
      </c>
      <c r="C106" s="13" t="str">
        <f>Data_Set_Raw!C105</f>
        <v>benedict byrd</v>
      </c>
      <c r="D106" s="13" t="str">
        <f t="shared" si="2"/>
        <v>Byrd</v>
      </c>
      <c r="E106" s="14" t="str">
        <f>Data_Set_Raw!D105</f>
        <v>Mauritania</v>
      </c>
      <c r="F106" s="14" t="str">
        <f>IFERROR(VLOOKUP(Data_Set_Raw!E105,Data_Lookup_Ans!$C$14:$J$25,1,FALSE),VLOOKUP(Data_Set_Raw!E105,Data_Lookup_Ans!$D$14:$J$25,7,FALSE))</f>
        <v>PURA-100</v>
      </c>
      <c r="G106" s="14" t="str">
        <f>IFERROR(VLOOKUP(TRIM(Data_Set_Raw!F105),Data_Lookup_Ans!$C$8:$D$10,2,FALSE),TRIM(Data_Set_Raw!F105))</f>
        <v>Online</v>
      </c>
      <c r="H106" s="30">
        <v>42522</v>
      </c>
      <c r="I106" s="14">
        <f>VALUE(Data_Set_Raw!H105)</f>
        <v>184</v>
      </c>
      <c r="J106" s="14">
        <f>VLOOKUP(F106,Data_Lookup_Ans!$C$14:$J$25,5,FALSE)</f>
        <v>100</v>
      </c>
      <c r="K106" s="14" t="str">
        <f>VLOOKUP(F106,Data_Lookup_Ans!$C$14:$J$25,6,FALSE)</f>
        <v>ml</v>
      </c>
      <c r="L106" s="14">
        <f>Data_Set_Raw!I105</f>
        <v>6.99</v>
      </c>
      <c r="M106" s="31">
        <f t="shared" si="3"/>
        <v>1286.1600000000001</v>
      </c>
    </row>
    <row r="107" spans="2:13">
      <c r="B107" s="8">
        <f>VALUE(Data_Set_Raw!B106)</f>
        <v>23376</v>
      </c>
      <c r="C107" s="13" t="str">
        <f>Data_Set_Raw!C106</f>
        <v>imogene bradshaw</v>
      </c>
      <c r="D107" s="13" t="str">
        <f t="shared" si="2"/>
        <v>Bradshaw</v>
      </c>
      <c r="E107" s="14" t="str">
        <f>Data_Set_Raw!D106</f>
        <v>Niger</v>
      </c>
      <c r="F107" s="14" t="str">
        <f>IFERROR(VLOOKUP(Data_Set_Raw!E106,Data_Lookup_Ans!$C$14:$J$25,1,FALSE),VLOOKUP(Data_Set_Raw!E106,Data_Lookup_Ans!$D$14:$J$25,7,FALSE))</f>
        <v>DETA-200</v>
      </c>
      <c r="G107" s="14" t="str">
        <f>IFERROR(VLOOKUP(TRIM(Data_Set_Raw!F106),Data_Lookup_Ans!$C$8:$D$10,2,FALSE),TRIM(Data_Set_Raw!F106))</f>
        <v>Direct</v>
      </c>
      <c r="H107" s="30">
        <v>42185</v>
      </c>
      <c r="I107" s="14">
        <f>VALUE(Data_Set_Raw!H106)</f>
        <v>85</v>
      </c>
      <c r="J107" s="14">
        <f>VLOOKUP(F107,Data_Lookup_Ans!$C$14:$J$25,5,FALSE)</f>
        <v>200</v>
      </c>
      <c r="K107" s="14" t="str">
        <f>VLOOKUP(F107,Data_Lookup_Ans!$C$14:$J$25,6,FALSE)</f>
        <v>ml</v>
      </c>
      <c r="L107" s="14">
        <f>Data_Set_Raw!I106</f>
        <v>6.99</v>
      </c>
      <c r="M107" s="31">
        <f t="shared" si="3"/>
        <v>594.15</v>
      </c>
    </row>
    <row r="108" spans="2:13">
      <c r="B108" s="8">
        <f>VALUE(Data_Set_Raw!B107)</f>
        <v>23371</v>
      </c>
      <c r="C108" s="13" t="str">
        <f>Data_Set_Raw!C107</f>
        <v>doris williams</v>
      </c>
      <c r="D108" s="13" t="str">
        <f t="shared" si="2"/>
        <v>Williams</v>
      </c>
      <c r="E108" s="14" t="str">
        <f>Data_Set_Raw!D107</f>
        <v>Trinidad and Tobago</v>
      </c>
      <c r="F108" s="14" t="str">
        <f>IFERROR(VLOOKUP(Data_Set_Raw!E107,Data_Lookup_Ans!$C$14:$J$25,1,FALSE),VLOOKUP(Data_Set_Raw!E107,Data_Lookup_Ans!$D$14:$J$25,7,FALSE))</f>
        <v>SUPA-1000</v>
      </c>
      <c r="G108" s="14" t="str">
        <f>IFERROR(VLOOKUP(TRIM(Data_Set_Raw!F107),Data_Lookup_Ans!$C$8:$D$10,2,FALSE),TRIM(Data_Set_Raw!F107))</f>
        <v>Online</v>
      </c>
      <c r="H108" s="30">
        <v>42529</v>
      </c>
      <c r="I108" s="14">
        <f>VALUE(Data_Set_Raw!H107)</f>
        <v>204</v>
      </c>
      <c r="J108" s="14">
        <f>VLOOKUP(F108,Data_Lookup_Ans!$C$14:$J$25,5,FALSE)</f>
        <v>1000</v>
      </c>
      <c r="K108" s="14" t="str">
        <f>VLOOKUP(F108,Data_Lookup_Ans!$C$14:$J$25,6,FALSE)</f>
        <v>ml</v>
      </c>
      <c r="L108" s="14">
        <f>Data_Set_Raw!I107</f>
        <v>6.99</v>
      </c>
      <c r="M108" s="31">
        <f t="shared" si="3"/>
        <v>1425.96</v>
      </c>
    </row>
  </sheetData>
  <autoFilter ref="B8:M108"/>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hisWorkbook.sent_to_problem_3">
                <anchor moveWithCells="1" sizeWithCells="1">
                  <from>
                    <xdr:col>5</xdr:col>
                    <xdr:colOff>1628775</xdr:colOff>
                    <xdr:row>1</xdr:row>
                    <xdr:rowOff>57150</xdr:rowOff>
                  </from>
                  <to>
                    <xdr:col>7</xdr:col>
                    <xdr:colOff>152400</xdr:colOff>
                    <xdr:row>3</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25"/>
  <sheetViews>
    <sheetView showGridLines="0" workbookViewId="0">
      <selection activeCell="E16" sqref="E16"/>
    </sheetView>
  </sheetViews>
  <sheetFormatPr defaultRowHeight="12"/>
  <cols>
    <col min="2" max="2" width="9" style="5"/>
    <col min="3" max="3" width="19.85546875" bestFit="1" customWidth="1"/>
    <col min="4" max="4" width="28.140625" bestFit="1" customWidth="1"/>
    <col min="5" max="5" width="21.85546875" bestFit="1" customWidth="1"/>
    <col min="7" max="7" width="18" style="5" bestFit="1" customWidth="1"/>
    <col min="8" max="8" width="9" style="5"/>
    <col min="10" max="10" width="17.7109375" customWidth="1"/>
  </cols>
  <sheetData>
    <row r="1" spans="1:10" ht="12.75">
      <c r="A1" s="4" t="str">
        <f>'Cover Page'!A1</f>
        <v>Problem Solving With Excel</v>
      </c>
    </row>
    <row r="2" spans="1:10" ht="12.75">
      <c r="A2" s="4" t="str">
        <f>'Cover Page'!A2</f>
        <v>Week 2</v>
      </c>
    </row>
    <row r="3" spans="1:10" ht="12.75">
      <c r="A3" s="4">
        <f>'Cover Page'!A3</f>
        <v>0</v>
      </c>
    </row>
    <row r="4" spans="1:10" ht="12.75">
      <c r="A4" s="4" t="s">
        <v>228</v>
      </c>
    </row>
    <row r="6" spans="1:10" ht="12.75" thickBot="1">
      <c r="C6" s="23" t="s">
        <v>6</v>
      </c>
    </row>
    <row r="7" spans="1:10" ht="15.75">
      <c r="C7" s="7" t="s">
        <v>229</v>
      </c>
      <c r="D7" s="25" t="s">
        <v>6</v>
      </c>
    </row>
    <row r="8" spans="1:10">
      <c r="C8" s="26" t="s">
        <v>22</v>
      </c>
      <c r="D8" s="15" t="s">
        <v>39</v>
      </c>
    </row>
    <row r="9" spans="1:10">
      <c r="C9" s="26" t="s">
        <v>35</v>
      </c>
      <c r="D9" s="15" t="s">
        <v>63</v>
      </c>
    </row>
    <row r="10" spans="1:10" ht="12.75" thickBot="1">
      <c r="C10" s="27" t="s">
        <v>58</v>
      </c>
      <c r="D10" s="18" t="s">
        <v>151</v>
      </c>
    </row>
    <row r="13" spans="1:10" ht="12.75" thickBot="1">
      <c r="C13" s="23" t="s">
        <v>230</v>
      </c>
    </row>
    <row r="14" spans="1:10" ht="15.75">
      <c r="C14" s="28" t="s">
        <v>224</v>
      </c>
      <c r="D14" s="10" t="s">
        <v>225</v>
      </c>
      <c r="E14" s="10" t="s">
        <v>226</v>
      </c>
      <c r="F14" s="10" t="s">
        <v>270</v>
      </c>
      <c r="G14" s="10" t="s">
        <v>271</v>
      </c>
      <c r="H14" s="10" t="s">
        <v>269</v>
      </c>
      <c r="I14" s="10" t="s">
        <v>9</v>
      </c>
      <c r="J14" s="29" t="s">
        <v>7</v>
      </c>
    </row>
    <row r="15" spans="1:10">
      <c r="C15" s="26" t="s">
        <v>30</v>
      </c>
      <c r="D15" s="14" t="s">
        <v>76</v>
      </c>
      <c r="E15" s="14" t="str">
        <f>LEFT(D15,FIND(" -",D15))</f>
        <v xml:space="preserve">Pure Soft Detergent </v>
      </c>
      <c r="F15" s="14" t="str">
        <f t="shared" ref="F15:F25" si="0">RIGHT(D15,LEN(D15)-2-LEN(E15))</f>
        <v>100ml</v>
      </c>
      <c r="G15" s="14">
        <f>VALUE(LEFT(F15,LEN(F15)-2))</f>
        <v>100</v>
      </c>
      <c r="H15" s="14" t="str">
        <f>RIGHT(F15,2)</f>
        <v>ml</v>
      </c>
      <c r="I15" s="14">
        <v>3</v>
      </c>
      <c r="J15" s="15" t="s">
        <v>30</v>
      </c>
    </row>
    <row r="16" spans="1:10">
      <c r="C16" s="26" t="s">
        <v>21</v>
      </c>
      <c r="D16" s="14" t="s">
        <v>26</v>
      </c>
      <c r="E16" s="14" t="str">
        <f t="shared" ref="E16:E25" si="1">LEFT(D16,FIND(" -",D16))</f>
        <v xml:space="preserve">Pure Soft Detergent </v>
      </c>
      <c r="F16" s="14" t="str">
        <f t="shared" si="0"/>
        <v>200ml</v>
      </c>
      <c r="G16" s="14">
        <f t="shared" ref="G16:G25" si="2">VALUE(LEFT(F16,LEN(F16)-2))</f>
        <v>200</v>
      </c>
      <c r="H16" s="14" t="str">
        <f t="shared" ref="H16:H25" si="3">RIGHT(F16,2)</f>
        <v>ml</v>
      </c>
      <c r="I16" s="14">
        <v>3.99</v>
      </c>
      <c r="J16" s="15" t="s">
        <v>21</v>
      </c>
    </row>
    <row r="17" spans="3:10">
      <c r="C17" s="26" t="s">
        <v>71</v>
      </c>
      <c r="D17" s="14" t="s">
        <v>67</v>
      </c>
      <c r="E17" s="14" t="str">
        <f t="shared" si="1"/>
        <v xml:space="preserve">Pure Soft Detergent </v>
      </c>
      <c r="F17" s="14" t="str">
        <f t="shared" si="0"/>
        <v>250ml</v>
      </c>
      <c r="G17" s="14">
        <f t="shared" si="2"/>
        <v>250</v>
      </c>
      <c r="H17" s="14" t="str">
        <f t="shared" si="3"/>
        <v>ml</v>
      </c>
      <c r="I17" s="14">
        <v>4.5</v>
      </c>
      <c r="J17" s="15" t="s">
        <v>71</v>
      </c>
    </row>
    <row r="18" spans="3:10">
      <c r="C18" s="26" t="s">
        <v>62</v>
      </c>
      <c r="D18" s="14" t="s">
        <v>110</v>
      </c>
      <c r="E18" s="14" t="str">
        <f t="shared" si="1"/>
        <v xml:space="preserve">Pure Soft Detergent </v>
      </c>
      <c r="F18" s="14" t="str">
        <f t="shared" si="0"/>
        <v>500ml</v>
      </c>
      <c r="G18" s="14">
        <f t="shared" si="2"/>
        <v>500</v>
      </c>
      <c r="H18" s="14" t="str">
        <f t="shared" si="3"/>
        <v>ml</v>
      </c>
      <c r="I18" s="14">
        <v>6.5</v>
      </c>
      <c r="J18" s="15" t="s">
        <v>62</v>
      </c>
    </row>
    <row r="19" spans="3:10">
      <c r="C19" s="26" t="s">
        <v>60</v>
      </c>
      <c r="D19" s="14" t="s">
        <v>85</v>
      </c>
      <c r="E19" s="14" t="str">
        <f t="shared" si="1"/>
        <v xml:space="preserve">Detafast Stain Remover </v>
      </c>
      <c r="F19" s="14" t="str">
        <f t="shared" si="0"/>
        <v>100ml</v>
      </c>
      <c r="G19" s="14">
        <f t="shared" si="2"/>
        <v>100</v>
      </c>
      <c r="H19" s="14" t="str">
        <f t="shared" si="3"/>
        <v>ml</v>
      </c>
      <c r="I19" s="14">
        <v>6</v>
      </c>
      <c r="J19" s="15" t="s">
        <v>60</v>
      </c>
    </row>
    <row r="20" spans="3:10">
      <c r="C20" s="26" t="s">
        <v>134</v>
      </c>
      <c r="D20" s="14" t="s">
        <v>41</v>
      </c>
      <c r="E20" s="14" t="str">
        <f t="shared" si="1"/>
        <v xml:space="preserve">Detafast Stain Remover </v>
      </c>
      <c r="F20" s="14" t="str">
        <f t="shared" si="0"/>
        <v>200ml</v>
      </c>
      <c r="G20" s="14">
        <f t="shared" si="2"/>
        <v>200</v>
      </c>
      <c r="H20" s="14" t="str">
        <f t="shared" si="3"/>
        <v>ml</v>
      </c>
      <c r="I20" s="14">
        <v>6.5</v>
      </c>
      <c r="J20" s="15" t="s">
        <v>134</v>
      </c>
    </row>
    <row r="21" spans="3:10">
      <c r="C21" s="26" t="s">
        <v>102</v>
      </c>
      <c r="D21" s="14" t="s">
        <v>82</v>
      </c>
      <c r="E21" s="14" t="str">
        <f t="shared" si="1"/>
        <v xml:space="preserve">Detafast Stain Remover </v>
      </c>
      <c r="F21" s="14" t="str">
        <f t="shared" si="0"/>
        <v>800ml</v>
      </c>
      <c r="G21" s="14">
        <f t="shared" si="2"/>
        <v>800</v>
      </c>
      <c r="H21" s="14" t="str">
        <f t="shared" si="3"/>
        <v>ml</v>
      </c>
      <c r="I21" s="14">
        <v>9</v>
      </c>
      <c r="J21" s="15" t="s">
        <v>102</v>
      </c>
    </row>
    <row r="22" spans="3:10">
      <c r="C22" s="26" t="s">
        <v>107</v>
      </c>
      <c r="D22" s="14" t="s">
        <v>119</v>
      </c>
      <c r="E22" s="14" t="str">
        <f t="shared" si="1"/>
        <v xml:space="preserve">Super Soft </v>
      </c>
      <c r="F22" s="14" t="str">
        <f t="shared" si="0"/>
        <v>250ml</v>
      </c>
      <c r="G22" s="14">
        <f t="shared" si="2"/>
        <v>250</v>
      </c>
      <c r="H22" s="14" t="str">
        <f t="shared" si="3"/>
        <v>ml</v>
      </c>
      <c r="I22" s="14">
        <v>4.5</v>
      </c>
      <c r="J22" s="15" t="s">
        <v>107</v>
      </c>
    </row>
    <row r="23" spans="3:10">
      <c r="C23" s="26" t="s">
        <v>34</v>
      </c>
      <c r="D23" s="14" t="s">
        <v>130</v>
      </c>
      <c r="E23" s="14" t="str">
        <f t="shared" si="1"/>
        <v xml:space="preserve">Super Soft </v>
      </c>
      <c r="F23" s="14" t="str">
        <f t="shared" si="0"/>
        <v>500ml</v>
      </c>
      <c r="G23" s="14">
        <f t="shared" si="2"/>
        <v>500</v>
      </c>
      <c r="H23" s="14" t="str">
        <f t="shared" si="3"/>
        <v>ml</v>
      </c>
      <c r="I23" s="14">
        <v>6.99</v>
      </c>
      <c r="J23" s="15" t="s">
        <v>34</v>
      </c>
    </row>
    <row r="24" spans="3:10">
      <c r="C24" s="26" t="s">
        <v>57</v>
      </c>
      <c r="D24" s="14" t="s">
        <v>50</v>
      </c>
      <c r="E24" s="14" t="str">
        <f t="shared" si="1"/>
        <v xml:space="preserve">Super Soft </v>
      </c>
      <c r="F24" s="14" t="str">
        <f t="shared" si="0"/>
        <v>1000ml</v>
      </c>
      <c r="G24" s="14">
        <f t="shared" si="2"/>
        <v>1000</v>
      </c>
      <c r="H24" s="14" t="str">
        <f t="shared" si="3"/>
        <v>ml</v>
      </c>
      <c r="I24" s="14">
        <v>9.99</v>
      </c>
      <c r="J24" s="15" t="s">
        <v>57</v>
      </c>
    </row>
    <row r="25" spans="3:10" ht="12.75" thickBot="1">
      <c r="C25" s="27" t="s">
        <v>46</v>
      </c>
      <c r="D25" s="17" t="s">
        <v>38</v>
      </c>
      <c r="E25" s="17" t="str">
        <f t="shared" si="1"/>
        <v xml:space="preserve">Super Soft Bulk </v>
      </c>
      <c r="F25" s="17" t="str">
        <f t="shared" si="0"/>
        <v>2000ml</v>
      </c>
      <c r="G25" s="17">
        <f t="shared" si="2"/>
        <v>2000</v>
      </c>
      <c r="H25" s="17" t="str">
        <f t="shared" si="3"/>
        <v>ml</v>
      </c>
      <c r="I25" s="17">
        <v>14.5</v>
      </c>
      <c r="J25" s="18" t="s">
        <v>46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2">
                <anchor moveWithCells="1" sizeWithCells="1">
                  <from>
                    <xdr:col>5</xdr:col>
                    <xdr:colOff>542925</xdr:colOff>
                    <xdr:row>7</xdr:row>
                    <xdr:rowOff>28575</xdr:rowOff>
                  </from>
                  <to>
                    <xdr:col>7</xdr:col>
                    <xdr:colOff>361950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Page</vt:lpstr>
      <vt:lpstr>Question</vt:lpstr>
      <vt:lpstr>Data_Lookup</vt:lpstr>
      <vt:lpstr>Data_Set_Clean</vt:lpstr>
      <vt:lpstr>Data_Set_Raw</vt:lpstr>
      <vt:lpstr>Question_Ans</vt:lpstr>
      <vt:lpstr>Data_Set_Clean_Ans</vt:lpstr>
      <vt:lpstr>Data_Lookup_Ans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Admin</cp:lastModifiedBy>
  <cp:lastPrinted>2016-10-20T16:27:59Z</cp:lastPrinted>
  <dcterms:created xsi:type="dcterms:W3CDTF">2014-11-18T17:16:50Z</dcterms:created>
  <dcterms:modified xsi:type="dcterms:W3CDTF">2025-04-08T09:25:32Z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